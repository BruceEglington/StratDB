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1B3F6254-B5FA-4BE3-A6F1-93C3DFF796F5}" xr6:coauthVersionLast="46" xr6:coauthVersionMax="46" xr10:uidLastSave="{00000000-0000-0000-0000-000000000000}"/>
  <bookViews>
    <workbookView xWindow="1170" yWindow="1170" windowWidth="21600" windowHeight="1425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cdsDepCommodities__">Sheet1!$A$2:$AR$2</definedName>
    <definedName name="_cdsCom0_">Sheet1!$L$2:$M$2</definedName>
    <definedName name="_cdsCom1_">Sheet1!$N$2:$P$2</definedName>
    <definedName name="_cdsCom2_">Sheet1!$Q$2:$S$2</definedName>
    <definedName name="_cdsCom3_">Sheet1!$T$2:$V$2</definedName>
    <definedName name="_cdsCom4_">Sheet1!$W$2:$Y$2</definedName>
    <definedName name="_cdsCom5_">Sheet1!$Z$2:$AB$2</definedName>
    <definedName name="_cdsCom6_">Sheet1!$AC$2:$AE$2</definedName>
    <definedName name="_cdsCom7_">Sheet1!$AF$2:$AH$2</definedName>
    <definedName name="_cdsCom8_">Sheet1!$AI$2:$AK$2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2" i="1" l="1"/>
  <c r="AP2" i="1"/>
  <c r="AN2" i="1"/>
  <c r="AM2" i="1"/>
  <c r="AL2" i="1"/>
  <c r="AO2" i="1" s="1"/>
</calcChain>
</file>

<file path=xl/sharedStrings.xml><?xml version="1.0" encoding="utf-8"?>
<sst xmlns="http://schemas.openxmlformats.org/spreadsheetml/2006/main" count="95" uniqueCount="95">
  <si>
    <t>Longitude</t>
  </si>
  <si>
    <t>Latitude</t>
  </si>
  <si>
    <t>Tonnage</t>
  </si>
  <si>
    <t>Units</t>
  </si>
  <si>
    <t>Status</t>
  </si>
  <si>
    <t>DepositID</t>
  </si>
  <si>
    <t>DepositName</t>
  </si>
  <si>
    <t>ParentID</t>
  </si>
  <si>
    <t>DepositClanID</t>
  </si>
  <si>
    <t>DepositClan</t>
  </si>
  <si>
    <t>CountryID</t>
  </si>
  <si>
    <t>ApprxAge</t>
  </si>
  <si>
    <t>PlusMinus95pc</t>
  </si>
  <si>
    <t>Commodity1</t>
  </si>
  <si>
    <t>Grade1</t>
  </si>
  <si>
    <t>Units1</t>
  </si>
  <si>
    <t>Commodity2</t>
  </si>
  <si>
    <t>Grade2</t>
  </si>
  <si>
    <t>Units2</t>
  </si>
  <si>
    <t>Commodity3</t>
  </si>
  <si>
    <t>Grade3</t>
  </si>
  <si>
    <t>Units3</t>
  </si>
  <si>
    <t>Commodity4</t>
  </si>
  <si>
    <t>Grade4</t>
  </si>
  <si>
    <t>Units4</t>
  </si>
  <si>
    <t>Commodity5</t>
  </si>
  <si>
    <t>Grade5</t>
  </si>
  <si>
    <t>Units5</t>
  </si>
  <si>
    <t>Commodity6</t>
  </si>
  <si>
    <t>Grade6</t>
  </si>
  <si>
    <t>Units6</t>
  </si>
  <si>
    <t>Commodity7</t>
  </si>
  <si>
    <t>Grade7</t>
  </si>
  <si>
    <t>Units7</t>
  </si>
  <si>
    <t>Commodity8</t>
  </si>
  <si>
    <t>Grade8</t>
  </si>
  <si>
    <t>Units8</t>
  </si>
  <si>
    <t>&lt;#cdsDepCommodities.SDBDEPOSITID&gt;</t>
  </si>
  <si>
    <t>&lt;#cdsDepCommodities.DEPOSITNAME&gt;</t>
  </si>
  <si>
    <t>&lt;#cdsDepCommodities.DEPOSITPARENTID&gt;</t>
  </si>
  <si>
    <t>&lt;#cdsDepCommodities.DEPOSITCLANID&gt;</t>
  </si>
  <si>
    <t>&lt;#cdsDepCommodities.DEPOSITCLAN&gt;</t>
  </si>
  <si>
    <t>&lt;#cdsDepCommodities.COUNTRYID&gt;</t>
  </si>
  <si>
    <t>&lt;#cdsDepCommodities.DEPOSITSTATUS&gt;</t>
  </si>
  <si>
    <t>&lt;#cdsDepCommodities.APPROXAGE&gt;</t>
  </si>
  <si>
    <t>&lt;#cdsDepCommodities.APPROXAGEUNCERTAINTY&gt;</t>
  </si>
  <si>
    <t>&lt;#cdsDepCommodities.DEPLONGITUDE&gt;</t>
  </si>
  <si>
    <t>&lt;#cdsDepCommodities.DEPLATITUDE&gt;</t>
  </si>
  <si>
    <t>&lt;#cdsCom0.COMMODITYGRADE&gt;</t>
  </si>
  <si>
    <t>&lt;#cdsCom0.GRADEUNIT&gt;</t>
  </si>
  <si>
    <t>&lt;#cdsCom1.COMMODITY&gt;</t>
  </si>
  <si>
    <t>&lt;#cdsCom1.COMMODITYGRADE&gt;</t>
  </si>
  <si>
    <t>&lt;#cdsCom1.GRADEUNIT&gt;</t>
  </si>
  <si>
    <t>&lt;#cdsCom2.COMMODITY&gt;</t>
  </si>
  <si>
    <t>&lt;#cdsCom2.COMMODITYGRADE&gt;</t>
  </si>
  <si>
    <t>&lt;#cdsCom2.GRADEUNIT&gt;</t>
  </si>
  <si>
    <t>&lt;#cdsCom3.COMMODITY&gt;</t>
  </si>
  <si>
    <t>&lt;#cdsCom3.COMMODITYGRADE&gt;</t>
  </si>
  <si>
    <t>&lt;#cdsCom3.GRADEUNIT&gt;</t>
  </si>
  <si>
    <t>&lt;#cdsCom4.COMMODITY&gt;</t>
  </si>
  <si>
    <t>&lt;#cdsCom4.COMMODITYGRADE&gt;</t>
  </si>
  <si>
    <t>&lt;#cdsCom4.GRADEUNIT&gt;</t>
  </si>
  <si>
    <t>&lt;#cdsCom5.COMMODITY&gt;</t>
  </si>
  <si>
    <t>&lt;#cdsCom5.COMMODITYGRADE&gt;</t>
  </si>
  <si>
    <t>&lt;#cdsCom5.GRADEUNIT&gt;</t>
  </si>
  <si>
    <t>&lt;#cdsCom6.COMMODITY&gt;</t>
  </si>
  <si>
    <t>&lt;#cdsCom6.COMMODITYGRADE&gt;</t>
  </si>
  <si>
    <t>&lt;#cdsCom6.GRADEUNIT&gt;</t>
  </si>
  <si>
    <t>&lt;#cdsCom7.COMMODITY&gt;</t>
  </si>
  <si>
    <t>&lt;#cdsCom7.COMMODITYGRADE&gt;</t>
  </si>
  <si>
    <t>&lt;#cdsCom7.GRADEUNIT&gt;</t>
  </si>
  <si>
    <t>&lt;#cdsCom8.COMMODITY&gt;</t>
  </si>
  <si>
    <t>&lt;#cdsCom8.COMMODITYGRADE&gt;</t>
  </si>
  <si>
    <t>&lt;#cdsCom8.GRADEUNIT&gt;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</si>
  <si>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</si>
  <si>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</si>
  <si>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</si>
  <si>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</si>
  <si>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</si>
  <si>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</si>
  <si>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</si>
  <si>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</si>
  <si>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</si>
  <si>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</si>
  <si>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</si>
  <si>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</si>
  <si>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</si>
  <si>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</si>
  <si>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</si>
  <si>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Au_plus_Ag</t>
  </si>
  <si>
    <t>Au_div_(Au_plus_Ag)</t>
  </si>
  <si>
    <t>Au_div_Cu</t>
  </si>
  <si>
    <t>Mo_div_Cu</t>
  </si>
  <si>
    <t>Au_div_Mo</t>
  </si>
  <si>
    <t>Ag_div_Cu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</si>
</sst>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1" fillId="2" borderId="1" xfId="0" quotePrefix="1" applyFont="1" applyFill="1" applyBorder="1" applyAlignment="1">
      <alignment horizontal="center" vertical="top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13.5703125" customWidth="1"/>
    <col min="2" max="2" width="38.7109375" customWidth="1"/>
    <col min="3" max="3" width="12.7109375" customWidth="1"/>
    <col min="4" max="4" width="13.28515625" customWidth="1"/>
    <col min="5" max="5" width="29" customWidth="1"/>
    <col min="6" max="6" width="10" customWidth="1"/>
    <col min="7" max="7" width="17" customWidth="1"/>
    <col min="8" max="8" width="10.5703125" customWidth="1"/>
    <col min="9" max="9" width="9.140625" customWidth="1"/>
    <col min="10" max="10" width="14.140625" customWidth="1"/>
    <col min="11" max="11" width="13.85546875" customWidth="1"/>
    <col min="12" max="12" width="9.85546875" customWidth="1"/>
    <col min="13" max="13" width="8.7109375" customWidth="1"/>
    <col min="14" max="36" width="8.5703125" customWidth="1"/>
    <col min="37" max="37" width="9" customWidth="1"/>
    <col min="42" max="42" width="8.7109375" customWidth="1"/>
    <col min="43" max="43" width="8.28515625" customWidth="1"/>
  </cols>
  <sheetData>
    <row r="1" spans="1:44" ht="30.75" customHeight="1" thickBo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4</v>
      </c>
      <c r="H1" s="1" t="s">
        <v>11</v>
      </c>
      <c r="I1" s="4" t="s">
        <v>12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89</v>
      </c>
      <c r="AM1" s="1" t="s">
        <v>92</v>
      </c>
      <c r="AN1" s="1" t="s">
        <v>93</v>
      </c>
      <c r="AO1" s="1" t="s">
        <v>90</v>
      </c>
      <c r="AP1" s="1" t="s">
        <v>91</v>
      </c>
      <c r="AQ1" s="1" t="s">
        <v>94</v>
      </c>
      <c r="AR1" s="1"/>
    </row>
    <row r="2" spans="1:44" ht="13.5" thickTop="1" x14ac:dyDescent="0.2">
      <c r="A2" s="2" t="s">
        <v>37</v>
      </c>
      <c r="B2" s="3" t="s">
        <v>38</v>
      </c>
      <c r="C2" s="2" t="s">
        <v>39</v>
      </c>
      <c r="D2" s="2" t="s">
        <v>40</v>
      </c>
      <c r="E2" s="8" t="s">
        <v>41</v>
      </c>
      <c r="F2" s="5" t="s">
        <v>42</v>
      </c>
      <c r="G2" s="3" t="s">
        <v>43</v>
      </c>
      <c r="H2" s="6" t="s">
        <v>44</v>
      </c>
      <c r="I2" s="6" t="s">
        <v>45</v>
      </c>
      <c r="J2" s="7" t="s">
        <v>46</v>
      </c>
      <c r="K2" s="7" t="s">
        <v>47</v>
      </c>
      <c r="L2" s="6" t="s">
        <v>48</v>
      </c>
      <c r="M2" s="8" t="s">
        <v>49</v>
      </c>
      <c r="N2" s="2" t="s">
        <v>50</v>
      </c>
      <c r="O2" s="6" t="s">
        <v>51</v>
      </c>
      <c r="P2" s="8" t="s">
        <v>52</v>
      </c>
      <c r="Q2" s="2" t="s">
        <v>53</v>
      </c>
      <c r="R2" s="6" t="s">
        <v>54</v>
      </c>
      <c r="S2" s="8" t="s">
        <v>55</v>
      </c>
      <c r="T2" s="2" t="s">
        <v>56</v>
      </c>
      <c r="U2" s="6" t="s">
        <v>57</v>
      </c>
      <c r="V2" s="8" t="s">
        <v>58</v>
      </c>
      <c r="W2" s="2" t="s">
        <v>59</v>
      </c>
      <c r="X2" s="6" t="s">
        <v>60</v>
      </c>
      <c r="Y2" s="8" t="s">
        <v>61</v>
      </c>
      <c r="Z2" s="2" t="s">
        <v>62</v>
      </c>
      <c r="AA2" s="6" t="s">
        <v>63</v>
      </c>
      <c r="AB2" s="8" t="s">
        <v>64</v>
      </c>
      <c r="AC2" s="2" t="s">
        <v>65</v>
      </c>
      <c r="AD2" s="6" t="s">
        <v>66</v>
      </c>
      <c r="AE2" s="8" t="s">
        <v>67</v>
      </c>
      <c r="AF2" s="2" t="s">
        <v>68</v>
      </c>
      <c r="AG2" s="6" t="s">
        <v>69</v>
      </c>
      <c r="AH2" s="8" t="s">
        <v>70</v>
      </c>
      <c r="AI2" s="2" t="s">
        <v>71</v>
      </c>
      <c r="AJ2" s="6" t="s">
        <v>72</v>
      </c>
      <c r="AK2" s="8" t="s">
        <v>73</v>
      </c>
      <c r="AL2" s="6" t="e">
        <f>IF((AA2+AD2)&gt;0,AA2+AD2,"")</f>
        <v>#VALUE!</v>
      </c>
      <c r="AM2" s="13" t="e">
        <f>IF(O2&gt;0,R2/O2,"")</f>
        <v>#VALUE!</v>
      </c>
      <c r="AN2" s="13" t="e">
        <f>IF(R2&gt;0,AA2/R2,"")</f>
        <v>#VALUE!</v>
      </c>
      <c r="AO2" s="13" t="e">
        <f>IF(AL2&lt;&gt;"",AA2/AL2,"")</f>
        <v>#VALUE!</v>
      </c>
      <c r="AP2" s="13" t="e">
        <f>IF(O2&gt;0,AA2/O2,"")</f>
        <v>#VALUE!</v>
      </c>
      <c r="AQ2" s="13" t="e">
        <f>IF(O2&gt;0,AD2/O2,"")</f>
        <v>#VALUE!</v>
      </c>
      <c r="AR2" s="13"/>
    </row>
    <row r="3" spans="1:44" x14ac:dyDescent="0.2">
      <c r="X3" s="6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9" customWidth="1"/>
    <col min="2" max="2" width="18.7109375" style="9" customWidth="1"/>
    <col min="3" max="3" width="32.7109375" style="9" customWidth="1"/>
    <col min="4" max="4" width="24.7109375" style="9" customWidth="1"/>
    <col min="5" max="7" width="1.7109375" style="9" customWidth="1"/>
    <col min="8" max="8" width="14.7109375" style="9" customWidth="1"/>
    <col min="9" max="9" width="11.7109375" style="9" customWidth="1"/>
    <col min="10" max="12" width="1.7109375" style="9" customWidth="1"/>
    <col min="13" max="13" width="14.7109375" style="9" customWidth="1"/>
    <col min="14" max="14" width="20.7109375" style="9" customWidth="1"/>
  </cols>
  <sheetData>
    <row r="1" spans="1:14" s="10" customFormat="1" ht="18" x14ac:dyDescent="0.25">
      <c r="A1" s="10" t="s">
        <v>74</v>
      </c>
    </row>
    <row r="3" spans="1:14" x14ac:dyDescent="0.25">
      <c r="A3" s="11" t="s">
        <v>75</v>
      </c>
    </row>
    <row r="4" spans="1:14" x14ac:dyDescent="0.25">
      <c r="A4" s="11" t="s">
        <v>76</v>
      </c>
    </row>
    <row r="5" spans="1:14" x14ac:dyDescent="0.25">
      <c r="A5" s="11" t="s">
        <v>77</v>
      </c>
    </row>
    <row r="8" spans="1:14" x14ac:dyDescent="0.25">
      <c r="A8" s="11" t="s">
        <v>78</v>
      </c>
      <c r="B8" s="11"/>
      <c r="C8" s="11"/>
      <c r="D8" s="11"/>
      <c r="H8" s="11" t="s">
        <v>79</v>
      </c>
      <c r="I8" s="11"/>
      <c r="M8" s="11" t="s">
        <v>80</v>
      </c>
      <c r="N8" s="11"/>
    </row>
    <row r="9" spans="1:14" ht="30" x14ac:dyDescent="0.25">
      <c r="A9" s="12" t="s">
        <v>81</v>
      </c>
      <c r="B9" s="12" t="s">
        <v>82</v>
      </c>
      <c r="C9" s="12" t="s">
        <v>83</v>
      </c>
      <c r="D9" s="12" t="s">
        <v>84</v>
      </c>
      <c r="H9" s="12" t="s">
        <v>85</v>
      </c>
      <c r="I9" s="12" t="s">
        <v>86</v>
      </c>
      <c r="M9" s="12" t="s">
        <v>87</v>
      </c>
      <c r="N9" s="12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Sheet1</vt:lpstr>
      <vt:lpstr>Sheet2</vt:lpstr>
      <vt:lpstr>Sheet3</vt:lpstr>
      <vt:lpstr>&lt;#Config&gt;</vt:lpstr>
      <vt:lpstr>__cdsDepCommodities__</vt:lpstr>
      <vt:lpstr>_cdsCom0_</vt:lpstr>
      <vt:lpstr>_cdsCom1_</vt:lpstr>
      <vt:lpstr>_cdsCom2_</vt:lpstr>
      <vt:lpstr>_cdsCom3_</vt:lpstr>
      <vt:lpstr>_cdsCom4_</vt:lpstr>
      <vt:lpstr>_cdsCom5_</vt:lpstr>
      <vt:lpstr>_cdsCom6_</vt:lpstr>
      <vt:lpstr>_cdsCom7_</vt:lpstr>
      <vt:lpstr>_cdsCom8_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2020-03-19T23:08:06Z</dcterms:created>
  <dcterms:modified xsi:type="dcterms:W3CDTF">2021-04-30T20:49:00Z</dcterms:modified>
</cp:coreProperties>
</file>