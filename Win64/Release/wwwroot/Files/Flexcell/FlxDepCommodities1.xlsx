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84DA725-01BF-4D29-9A1B-2A9C2A625DF9}" xr6:coauthVersionLast="47" xr6:coauthVersionMax="47" xr10:uidLastSave="{00000000-0000-0000-0000-000000000000}"/>
  <bookViews>
    <workbookView xWindow="31920" yWindow="2145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Sheet1!$A$2:$BA$2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" i="1" l="1"/>
  <c r="AT2" i="1" s="1"/>
  <c r="AW2" i="1" s="1"/>
  <c r="AN2" i="1"/>
  <c r="AM2" i="1"/>
  <c r="AZ2" i="1" s="1"/>
  <c r="AL2" i="1"/>
  <c r="AQ2" i="1" s="1"/>
  <c r="AP2" i="1"/>
  <c r="AX2" i="1" l="1"/>
  <c r="AS2" i="1"/>
  <c r="AV2" i="1" s="1"/>
  <c r="AY2" i="1"/>
  <c r="AR2" i="1"/>
  <c r="AU2" i="1" s="1"/>
</calcChain>
</file>

<file path=xl/sharedStrings.xml><?xml version="1.0" encoding="utf-8"?>
<sst xmlns="http://schemas.openxmlformats.org/spreadsheetml/2006/main" count="104" uniqueCount="104">
  <si>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</si>
  <si>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</si>
  <si>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</si>
  <si>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</si>
  <si>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</si>
  <si>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</si>
  <si>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</si>
  <si>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</si>
  <si>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</si>
  <si>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</si>
  <si>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</si>
  <si>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</si>
  <si>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</si>
  <si>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</si>
  <si>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</si>
  <si>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</si>
  <si>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</si>
  <si>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</si>
  <si>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</si>
  <si>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</si>
  <si>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</si>
  <si>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</si>
  <si>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</si>
  <si>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</si>
  <si>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</si>
  <si>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</si>
  <si>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</si>
  <si>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</si>
  <si>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</si>
  <si>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</si>
  <si>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</si>
  <si>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</si>
  <si>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</si>
  <si>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</si>
  <si>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</si>
  <si>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</si>
  <si>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</si>
  <si>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</si>
  <si>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</si>
  <si>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</si>
  <si>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</si>
  <si>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</si>
  <si>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</si>
  <si>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</si>
  <si>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</si>
  <si>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</si>
  <si>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</si>
  <si>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</si>
  <si>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</si>
  <si>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</si>
  <si>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</si>
  <si>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</si>
  <si>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</si>
  <si>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</si>
  <si>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</si>
  <si>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</si>
  <si>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</si>
  <si>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</si>
  <si>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</si>
  <si>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</si>
  <si>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</si>
  <si>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</si>
  <si>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</si>
  <si>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</si>
  <si>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</si>
  <si>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</si>
  <si>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</si>
  <si>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</si>
  <si>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</si>
  <si>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</si>
  <si>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</si>
  <si>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</si>
  <si>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</si>
  <si>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</si>
  <si>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</si>
  <si>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</si>
  <si>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</si>
  <si>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</si>
  <si>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</si>
  <si>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</si>
  <si>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</si>
  <si>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</si>
  <si>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</si>
  <si>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</si>
  <si>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</si>
  <si>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</si>
  <si>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</si>
  <si>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</si>
  <si>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</si>
  <si>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Zn_plus_Pb</t>
  </si>
  <si>
    <t>Cu_plus_Zn</t>
  </si>
  <si>
    <t>Au_plus_Ag</t>
  </si>
  <si>
    <t>Zn_div_(Zn_plus_Pb)</t>
  </si>
  <si>
    <t>Cu_div_(Cu_plus_Zn)</t>
  </si>
  <si>
    <t>Au_div_(Au_plus_Ag)</t>
  </si>
  <si>
    <t>Au_div_Cu</t>
  </si>
  <si>
    <t>Au_div_Zn</t>
  </si>
  <si>
    <t>Ag_div_Zn</t>
  </si>
  <si>
    <t>Contained_Cu_Mtonnes</t>
  </si>
  <si>
    <t>Contained_Zn_Mtonnes</t>
  </si>
  <si>
    <t>Contained_Pb_Mtonnes</t>
  </si>
  <si>
    <t>Contained_Ag_Mtonnes</t>
  </si>
  <si>
    <t>Contained_Au_Mtonnes</t>
  </si>
  <si>
    <t>Contained_Metal_Mtonnes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</si>
</sst>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E+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</cols>
  <sheetData>
    <row r="1" spans="1:53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/>
    </row>
    <row r="2" spans="1:53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14" t="e">
        <f>IF($L2&gt;0,IF(O2&gt;0,$L2*O2/100,""),"")</f>
        <v>#VALUE!</v>
      </c>
      <c r="AM2" s="14" t="e">
        <f>IF($L2&gt;0,IF(R2&gt;0,$L2*R2/100,""),"")</f>
        <v>#VALUE!</v>
      </c>
      <c r="AN2" s="14" t="e">
        <f>IF($L2&gt;0,IF(U2&gt;0,$L2*U2/100,""),"")</f>
        <v>#VALUE!</v>
      </c>
      <c r="AO2" s="14" t="e">
        <f>IF($L2&gt;0,IF(X2&gt;0,$L2*X2,""),"")</f>
        <v>#VALUE!</v>
      </c>
      <c r="AP2" s="14" t="e">
        <f>IF($L2&gt;0,IF(AA2&gt;0,$L2*AA2/1000000,""),"")</f>
        <v>#VALUE!</v>
      </c>
      <c r="AQ2" s="14" t="e">
        <f>SUM(AL2:AN2)</f>
        <v>#VALUE!</v>
      </c>
      <c r="AR2" s="6" t="e">
        <f>IF((AM2+AN2)&gt;0,AM2+AN2,"")</f>
        <v>#VALUE!</v>
      </c>
      <c r="AS2" s="6" t="e">
        <f>IF((AL2+AM2)&gt;0,AL2+AM2,"")</f>
        <v>#VALUE!</v>
      </c>
      <c r="AT2" s="6" t="e">
        <f>IF((AO2+AP2)&gt;0,AO2+AP2,"")</f>
        <v>#VALUE!</v>
      </c>
      <c r="AU2" s="13" t="e">
        <f>IF(AR2&lt;&gt;"",AM2/AR2,"")</f>
        <v>#VALUE!</v>
      </c>
      <c r="AV2" s="13" t="e">
        <f>IF(AS2&lt;&gt;"",AL2/AS2,"")</f>
        <v>#VALUE!</v>
      </c>
      <c r="AW2" s="13" t="e">
        <f>IF(AT2&lt;&gt;"",AP2/AT2,"")</f>
        <v>#VALUE!</v>
      </c>
      <c r="AX2" s="13" t="e">
        <f>IF(AL2&lt;&gt;"",AP2/AL2,"")</f>
        <v>#VALUE!</v>
      </c>
      <c r="AY2" s="13" t="e">
        <f>IF(AM2&lt;&gt;"",AP2/AM2,"")</f>
        <v>#VALUE!</v>
      </c>
      <c r="AZ2" s="13" t="e">
        <f>IF(AM2&lt;&gt;"",AO2/AM2,"")</f>
        <v>#VALUE!</v>
      </c>
      <c r="BA2" s="8"/>
    </row>
    <row r="3" spans="1:53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2021-11-09T04:23:01Z</dcterms:modified>
</cp:coreProperties>
</file>