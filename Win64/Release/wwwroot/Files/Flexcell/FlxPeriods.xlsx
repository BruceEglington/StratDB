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14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EXE32\wwwroot\Files\Flexcell\"/>
    </mc:Choice>
  </mc:AlternateContent>
  <xr:revisionPtr revIDLastSave="0" documentId="8_{88FE14C0-1F45-4AB8-BADD-FC2A51BC0D0B}" xr6:coauthVersionLast="43" xr6:coauthVersionMax="43" xr10:uidLastSave="{00000000-0000-0000-0000-000000000000}"/>
  <bookViews>
    <workbookView xWindow="-120" yWindow="-120" windowWidth="24240" windowHeight="13140"/>
  </bookViews>
  <sheets>
    <sheet name="gistest" sheetId="1" r:id="rId1"/>
    <sheet name="&lt;#Config&gt;" sheetId="2" r:id="rId2"/>
  </sheets>
  <definedNames>
    <definedName name="__cdsTimeSpaceMetamorphism__">gistest!$A$2:$S$7</definedName>
    <definedName name="__Polygon__">gistest!$A$3:$S$7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O2" i="1" l="1"/>
  <c r="O5" i="1" s="1"/>
  <c r="S5" i="1" s="1"/>
  <c r="P2" i="1"/>
  <c r="Q2" i="1"/>
  <c r="R2" i="1"/>
  <c r="S2" i="1"/>
  <c r="A3" i="1"/>
  <c r="B3" i="1"/>
  <c r="C3" i="1"/>
  <c r="E3" i="1"/>
  <c r="F3" i="1"/>
  <c r="G3" i="1"/>
  <c r="H3" i="1"/>
  <c r="I3" i="1"/>
  <c r="J3" i="1"/>
  <c r="K3" i="1"/>
  <c r="L3" i="1"/>
  <c r="M3" i="1"/>
  <c r="N3" i="1"/>
  <c r="O3" i="1"/>
  <c r="S3" i="1" s="1"/>
  <c r="P3" i="1"/>
  <c r="R3" i="1"/>
  <c r="A4" i="1"/>
  <c r="B4" i="1"/>
  <c r="C4" i="1"/>
  <c r="E4" i="1"/>
  <c r="F4" i="1"/>
  <c r="G4" i="1"/>
  <c r="H4" i="1"/>
  <c r="I4" i="1"/>
  <c r="J4" i="1"/>
  <c r="R5" i="1" s="1"/>
  <c r="K4" i="1"/>
  <c r="L4" i="1"/>
  <c r="M4" i="1"/>
  <c r="N4" i="1"/>
  <c r="O4" i="1"/>
  <c r="S4" i="1" s="1"/>
  <c r="P4" i="1"/>
  <c r="A5" i="1"/>
  <c r="B5" i="1"/>
  <c r="C5" i="1"/>
  <c r="E5" i="1"/>
  <c r="F5" i="1"/>
  <c r="G5" i="1"/>
  <c r="H5" i="1"/>
  <c r="I5" i="1"/>
  <c r="J5" i="1"/>
  <c r="K5" i="1"/>
  <c r="L5" i="1"/>
  <c r="M5" i="1"/>
  <c r="N5" i="1"/>
  <c r="P5" i="1"/>
  <c r="A6" i="1"/>
  <c r="B6" i="1"/>
  <c r="C6" i="1"/>
  <c r="E6" i="1"/>
  <c r="F6" i="1"/>
  <c r="G6" i="1"/>
  <c r="H6" i="1"/>
  <c r="I6" i="1"/>
  <c r="J6" i="1"/>
  <c r="K6" i="1"/>
  <c r="L6" i="1"/>
  <c r="M6" i="1"/>
  <c r="N6" i="1"/>
  <c r="O6" i="1"/>
  <c r="S6" i="1" s="1"/>
  <c r="P6" i="1"/>
  <c r="R6" i="1"/>
  <c r="A7" i="1"/>
  <c r="B7" i="1"/>
  <c r="C7" i="1"/>
  <c r="E7" i="1"/>
  <c r="F7" i="1"/>
  <c r="G7" i="1"/>
  <c r="H7" i="1"/>
  <c r="I7" i="1"/>
  <c r="J7" i="1"/>
  <c r="K7" i="1"/>
  <c r="L7" i="1"/>
  <c r="M7" i="1"/>
  <c r="N7" i="1"/>
  <c r="O7" i="1"/>
  <c r="S7" i="1" s="1"/>
  <c r="P7" i="1"/>
  <c r="R7" i="1"/>
  <c r="Q3" i="1" l="1"/>
  <c r="Q4" i="1"/>
  <c r="Q6" i="1"/>
  <c r="R4" i="1"/>
  <c r="Q7" i="1"/>
  <c r="Q5" i="1"/>
</calcChain>
</file>

<file path=xl/sharedStrings.xml><?xml version="1.0" encoding="utf-8"?>
<sst xmlns="http://schemas.openxmlformats.org/spreadsheetml/2006/main" count="48" uniqueCount="48">
  <si>
    <t>X</t>
  </si>
  <si>
    <t>Y</t>
  </si>
  <si>
    <t>i</t>
  </si>
  <si>
    <t>Orogeny</t>
  </si>
  <si>
    <t>D</t>
  </si>
  <si>
    <t>ChartID</t>
  </si>
  <si>
    <t>DomainOrder</t>
  </si>
  <si>
    <t>MetphOrder</t>
  </si>
  <si>
    <t>PointID</t>
  </si>
  <si>
    <t>DomainID</t>
  </si>
  <si>
    <t>ChartOffset</t>
  </si>
  <si>
    <t>DomainOffset</t>
  </si>
  <si>
    <t>PeakAge</t>
  </si>
  <si>
    <t>MinimumAge</t>
  </si>
  <si>
    <t>MaximumAge</t>
  </si>
  <si>
    <t>MetamorphicGrade</t>
  </si>
  <si>
    <t>DomainName</t>
  </si>
  <si>
    <t>DomainType</t>
  </si>
  <si>
    <t>Dstr</t>
  </si>
  <si>
    <t>Configuration Sheet</t>
  </si>
  <si>
    <t>Included Configs:</t>
  </si>
  <si>
    <t>Data Sources:</t>
  </si>
  <si>
    <t>Application to run:</t>
  </si>
  <si>
    <t>Data</t>
  </si>
  <si>
    <t>Format</t>
  </si>
  <si>
    <t>Expressions</t>
  </si>
  <si>
    <t>Table Name</t>
  </si>
  <si>
    <t>Source Name</t>
  </si>
  <si>
    <t>Filter</t>
  </si>
  <si>
    <t>Sort Fields ("," Separated), ASC or DESC</t>
  </si>
  <si>
    <t>Format Name</t>
  </si>
  <si>
    <t>Format Def</t>
  </si>
  <si>
    <t>Name</t>
  </si>
  <si>
    <t>Expression</t>
  </si>
  <si>
    <t>##cdsTimeSpaceMetamorphism##CHARTID</t>
  </si>
  <si>
    <t>##cdsTimeSpaceMetamorphism##DOMAINORDER</t>
  </si>
  <si>
    <t>##cdsTimeSpaceMetamorphism##METAMORPHISMORDER</t>
  </si>
  <si>
    <t>##cdsTimeSpaceMetamorphism##POINTID</t>
  </si>
  <si>
    <t>##cdsTimeSpaceMetamorphism##DOMAINID</t>
  </si>
  <si>
    <t>##cdsTimeSpaceMetamorphism##CHARTOFFSET_MM</t>
  </si>
  <si>
    <t>##cdsTimeSpaceMetamorphism##DOMAINOFFSET_MM</t>
  </si>
  <si>
    <t>##cdsTimeSpaceMetamorphism##PEAKAGE</t>
  </si>
  <si>
    <t>##cdsTimeSpaceMetamorphism##MINAGE</t>
  </si>
  <si>
    <t>##cdsTimeSpaceMetamorphism##MAXAGE</t>
  </si>
  <si>
    <t>##cdsTimeSpaceMetamorphism##GRADE</t>
  </si>
  <si>
    <t>##cdsTimeSpaceMetamorphism##DOMAINNAME</t>
  </si>
  <si>
    <t>##cdsTimeSpaceMetamorphism##DOMAINTYPE</t>
  </si>
  <si>
    <t>##cdsTimeSpaceMetamorphism##OROGENY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</si>
</sst>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72" formatCode="#,###,##0"/>
    <numFmt numFmtId="173" formatCode="#,###,##0.000"/>
    <numFmt numFmtId="174" formatCode=";;"/>
  </numFmts>
  <fonts count="7" x14ac:knownFonts="1">
    <font>
      <b/>
      <sz val="10"/>
      <name val="Arial"/>
    </font>
    <font>
      <sz val="10"/>
      <name val="Arial"/>
    </font>
    <font>
      <sz val="10"/>
      <name val="Arial"/>
    </font>
    <font>
      <b/>
      <sz val="10"/>
      <name val="Arial"/>
      <family val="2"/>
    </font>
    <font>
      <sz val="11"/>
      <color theme="1"/>
      <name val="Calibri"/>
      <family val="2"/>
      <scheme val="minor"/>
    </font>
    <font>
      <sz val="14"/>
      <color theme="0"/>
      <name val="Calibri Light"/>
      <family val="1"/>
      <scheme val="major"/>
    </font>
    <font>
      <sz val="11"/>
      <color theme="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indexed="44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3" tint="0.79995117038483843"/>
        <bgColor indexed="64"/>
      </patternFill>
    </fill>
    <fill>
      <patternFill patternType="solid">
        <fgColor theme="3" tint="0.39994506668294322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double">
        <color indexed="64"/>
      </bottom>
      <diagonal/>
    </border>
    <border>
      <left style="thin">
        <color theme="0" tint="-0.14996795556505021"/>
      </left>
      <right style="thin">
        <color theme="0" tint="-0.14996795556505021"/>
      </right>
      <top style="thin">
        <color theme="0" tint="-0.14996795556505021"/>
      </top>
      <bottom style="thin">
        <color theme="0" tint="-0.14996795556505021"/>
      </bottom>
      <diagonal/>
    </border>
  </borders>
  <cellStyleXfs count="1">
    <xf numFmtId="0" fontId="0" fillId="0" borderId="0"/>
  </cellStyleXfs>
  <cellXfs count="14">
    <xf numFmtId="0" fontId="0" fillId="0" borderId="0" xfId="0"/>
    <xf numFmtId="172" fontId="1" fillId="0" borderId="0" xfId="0" applyNumberFormat="1" applyFont="1"/>
    <xf numFmtId="173" fontId="1" fillId="0" borderId="0" xfId="0" applyNumberFormat="1" applyFont="1"/>
    <xf numFmtId="174" fontId="1" fillId="0" borderId="0" xfId="0" applyNumberFormat="1" applyFont="1"/>
    <xf numFmtId="173" fontId="0" fillId="0" borderId="0" xfId="0" applyNumberFormat="1"/>
    <xf numFmtId="0" fontId="3" fillId="2" borderId="1" xfId="0" applyFont="1" applyFill="1" applyBorder="1" applyAlignment="1">
      <alignment horizontal="center" vertical="top" wrapText="1"/>
    </xf>
    <xf numFmtId="172" fontId="2" fillId="0" borderId="0" xfId="0" applyNumberFormat="1" applyFont="1"/>
    <xf numFmtId="173" fontId="2" fillId="0" borderId="0" xfId="0" applyNumberFormat="1" applyFont="1"/>
    <xf numFmtId="0" fontId="2" fillId="0" borderId="0" xfId="0" applyFont="1"/>
    <xf numFmtId="49" fontId="2" fillId="0" borderId="0" xfId="0" applyNumberFormat="1" applyFont="1"/>
    <xf numFmtId="0" fontId="4" fillId="0" borderId="0" xfId="0" applyFont="1"/>
    <xf numFmtId="0" fontId="5" fillId="3" borderId="0" xfId="0" applyFont="1" applyFill="1"/>
    <xf numFmtId="0" fontId="4" fillId="4" borderId="0" xfId="0" applyFont="1" applyFill="1"/>
    <xf numFmtId="0" fontId="6" fillId="5" borderId="2" xfId="0" applyFont="1" applyFill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7"/>
  <sheetViews>
    <sheetView tabSelected="1" zoomScale="75" workbookViewId="0"/>
  </sheetViews>
  <sheetFormatPr defaultRowHeight="12.75" x14ac:dyDescent="0.2"/>
  <cols>
    <col min="1" max="1" width="7" customWidth="1"/>
    <col min="2" max="2" width="8.5703125" customWidth="1"/>
    <col min="3" max="3" width="9.5703125" customWidth="1"/>
    <col min="4" max="4" width="7" customWidth="1"/>
    <col min="5" max="5" width="9.28515625" customWidth="1"/>
    <col min="6" max="6" width="14" customWidth="1"/>
    <col min="7" max="7" width="15" customWidth="1"/>
    <col min="8" max="8" width="13" customWidth="1"/>
    <col min="9" max="9" width="10.28515625" customWidth="1"/>
    <col min="10" max="10" width="10.85546875" customWidth="1"/>
    <col min="11" max="11" width="29.42578125" customWidth="1"/>
    <col min="12" max="13" width="23.140625" customWidth="1"/>
    <col min="14" max="14" width="25.5703125" customWidth="1"/>
    <col min="15" max="15" width="5.42578125" customWidth="1"/>
    <col min="16" max="16" width="4" customWidth="1"/>
    <col min="18" max="18" width="10.42578125" bestFit="1" customWidth="1"/>
  </cols>
  <sheetData>
    <row r="1" spans="1:20" ht="36" customHeight="1" thickBot="1" x14ac:dyDescent="0.25">
      <c r="A1" s="5" t="s">
        <v>5</v>
      </c>
      <c r="B1" s="5" t="s">
        <v>6</v>
      </c>
      <c r="C1" s="5" t="s">
        <v>7</v>
      </c>
      <c r="D1" s="5" t="s">
        <v>8</v>
      </c>
      <c r="E1" s="5" t="s">
        <v>9</v>
      </c>
      <c r="F1" s="5" t="s">
        <v>10</v>
      </c>
      <c r="G1" s="5" t="s">
        <v>11</v>
      </c>
      <c r="H1" s="5" t="s">
        <v>12</v>
      </c>
      <c r="I1" s="5" t="s">
        <v>13</v>
      </c>
      <c r="J1" s="5" t="s">
        <v>14</v>
      </c>
      <c r="K1" s="5" t="s">
        <v>15</v>
      </c>
      <c r="L1" s="5" t="s">
        <v>16</v>
      </c>
      <c r="M1" s="5" t="s">
        <v>17</v>
      </c>
      <c r="N1" s="5" t="s">
        <v>3</v>
      </c>
      <c r="O1" s="5" t="s">
        <v>4</v>
      </c>
      <c r="P1" s="5" t="s">
        <v>2</v>
      </c>
      <c r="Q1" s="5" t="s">
        <v>0</v>
      </c>
      <c r="R1" s="5" t="s">
        <v>1</v>
      </c>
      <c r="S1" s="5" t="s">
        <v>18</v>
      </c>
    </row>
    <row r="2" spans="1:20" ht="13.5" customHeight="1" thickTop="1" x14ac:dyDescent="0.2">
      <c r="A2" s="1" t="s">
        <v>34</v>
      </c>
      <c r="B2" s="1" t="s">
        <v>35</v>
      </c>
      <c r="C2" s="1" t="s">
        <v>36</v>
      </c>
      <c r="D2" s="1" t="s">
        <v>37</v>
      </c>
      <c r="E2" s="1" t="s">
        <v>38</v>
      </c>
      <c r="F2" s="1" t="s">
        <v>39</v>
      </c>
      <c r="G2" s="1" t="s">
        <v>40</v>
      </c>
      <c r="H2" s="1" t="s">
        <v>41</v>
      </c>
      <c r="I2" s="2" t="s">
        <v>42</v>
      </c>
      <c r="J2" s="2" t="s">
        <v>43</v>
      </c>
      <c r="K2" s="3" t="s">
        <v>44</v>
      </c>
      <c r="L2" s="3" t="s">
        <v>45</v>
      </c>
      <c r="M2" s="3" t="s">
        <v>46</v>
      </c>
      <c r="N2" s="3" t="s">
        <v>47</v>
      </c>
      <c r="O2" s="6" t="str">
        <f>E2</f>
        <v>##cdsTimeSpaceMetamorphism##DOMAINID</v>
      </c>
      <c r="P2" s="6" t="str">
        <f t="shared" ref="P2:P7" si="0">D2</f>
        <v>##cdsTimeSpaceMetamorphism##POINTID</v>
      </c>
      <c r="Q2" s="6" t="e">
        <f>F2+G2*B2</f>
        <v>#VALUE!</v>
      </c>
      <c r="R2" s="7" t="str">
        <f>I2</f>
        <v>##cdsTimeSpaceMetamorphism##MINAGE</v>
      </c>
      <c r="S2" s="9" t="str">
        <f t="shared" ref="S2:S7" si="1">O2</f>
        <v>##cdsTimeSpaceMetamorphism##DOMAINID</v>
      </c>
    </row>
    <row r="3" spans="1:20" x14ac:dyDescent="0.2">
      <c r="A3" s="1" t="str">
        <f>A2</f>
        <v>##cdsTimeSpaceMetamorphism##CHARTID</v>
      </c>
      <c r="B3" s="1" t="str">
        <f>B2</f>
        <v>##cdsTimeSpaceMetamorphism##DOMAINORDER</v>
      </c>
      <c r="C3" s="1" t="str">
        <f>C2</f>
        <v>##cdsTimeSpaceMetamorphism##METAMORPHISMORDER</v>
      </c>
      <c r="D3" s="1">
        <v>1</v>
      </c>
      <c r="E3" s="1" t="str">
        <f t="shared" ref="E3:O3" si="2">E2</f>
        <v>##cdsTimeSpaceMetamorphism##DOMAINID</v>
      </c>
      <c r="F3" s="1" t="str">
        <f t="shared" si="2"/>
        <v>##cdsTimeSpaceMetamorphism##CHARTOFFSET_MM</v>
      </c>
      <c r="G3" s="1" t="str">
        <f t="shared" si="2"/>
        <v>##cdsTimeSpaceMetamorphism##DOMAINOFFSET_MM</v>
      </c>
      <c r="H3" s="1" t="str">
        <f t="shared" si="2"/>
        <v>##cdsTimeSpaceMetamorphism##PEAKAGE</v>
      </c>
      <c r="I3" s="2" t="str">
        <f t="shared" si="2"/>
        <v>##cdsTimeSpaceMetamorphism##MINAGE</v>
      </c>
      <c r="J3" s="2" t="str">
        <f t="shared" si="2"/>
        <v>##cdsTimeSpaceMetamorphism##MAXAGE</v>
      </c>
      <c r="K3" s="1" t="str">
        <f t="shared" si="2"/>
        <v>##cdsTimeSpaceMetamorphism##GRADE</v>
      </c>
      <c r="L3" s="1" t="str">
        <f t="shared" si="2"/>
        <v>##cdsTimeSpaceMetamorphism##DOMAINNAME</v>
      </c>
      <c r="M3" s="1" t="str">
        <f t="shared" si="2"/>
        <v>##cdsTimeSpaceMetamorphism##DOMAINTYPE</v>
      </c>
      <c r="N3" s="1" t="str">
        <f t="shared" si="2"/>
        <v>##cdsTimeSpaceMetamorphism##OROGENY</v>
      </c>
      <c r="O3" s="8" t="str">
        <f t="shared" si="2"/>
        <v>##cdsTimeSpaceMetamorphism##DOMAINID</v>
      </c>
      <c r="P3" s="6">
        <f t="shared" si="0"/>
        <v>1</v>
      </c>
      <c r="Q3" s="6" t="e">
        <f>F3+G3*B3</f>
        <v>#VALUE!</v>
      </c>
      <c r="R3" s="7" t="str">
        <f>I3</f>
        <v>##cdsTimeSpaceMetamorphism##MINAGE</v>
      </c>
      <c r="S3" s="9" t="str">
        <f t="shared" si="1"/>
        <v>##cdsTimeSpaceMetamorphism##DOMAINID</v>
      </c>
      <c r="T3" s="4"/>
    </row>
    <row r="4" spans="1:20" x14ac:dyDescent="0.2">
      <c r="A4" s="1" t="str">
        <f>A2</f>
        <v>##cdsTimeSpaceMetamorphism##CHARTID</v>
      </c>
      <c r="B4" s="1" t="str">
        <f>B2</f>
        <v>##cdsTimeSpaceMetamorphism##DOMAINORDER</v>
      </c>
      <c r="C4" s="1" t="str">
        <f>C2</f>
        <v>##cdsTimeSpaceMetamorphism##METAMORPHISMORDER</v>
      </c>
      <c r="D4" s="1">
        <v>2</v>
      </c>
      <c r="E4" s="1" t="str">
        <f t="shared" ref="E4:O4" si="3">E2</f>
        <v>##cdsTimeSpaceMetamorphism##DOMAINID</v>
      </c>
      <c r="F4" s="1" t="str">
        <f t="shared" si="3"/>
        <v>##cdsTimeSpaceMetamorphism##CHARTOFFSET_MM</v>
      </c>
      <c r="G4" s="1" t="str">
        <f t="shared" si="3"/>
        <v>##cdsTimeSpaceMetamorphism##DOMAINOFFSET_MM</v>
      </c>
      <c r="H4" s="1" t="str">
        <f t="shared" si="3"/>
        <v>##cdsTimeSpaceMetamorphism##PEAKAGE</v>
      </c>
      <c r="I4" s="2" t="str">
        <f t="shared" si="3"/>
        <v>##cdsTimeSpaceMetamorphism##MINAGE</v>
      </c>
      <c r="J4" s="2" t="str">
        <f t="shared" si="3"/>
        <v>##cdsTimeSpaceMetamorphism##MAXAGE</v>
      </c>
      <c r="K4" s="1" t="str">
        <f t="shared" si="3"/>
        <v>##cdsTimeSpaceMetamorphism##GRADE</v>
      </c>
      <c r="L4" s="1" t="str">
        <f t="shared" si="3"/>
        <v>##cdsTimeSpaceMetamorphism##DOMAINNAME</v>
      </c>
      <c r="M4" s="1" t="str">
        <f t="shared" si="3"/>
        <v>##cdsTimeSpaceMetamorphism##DOMAINTYPE</v>
      </c>
      <c r="N4" s="1" t="str">
        <f t="shared" si="3"/>
        <v>##cdsTimeSpaceMetamorphism##OROGENY</v>
      </c>
      <c r="O4" s="8" t="str">
        <f t="shared" si="3"/>
        <v>##cdsTimeSpaceMetamorphism##DOMAINID</v>
      </c>
      <c r="P4" s="6">
        <f t="shared" si="0"/>
        <v>2</v>
      </c>
      <c r="Q4" s="6" t="e">
        <f>F4+G4*B4</f>
        <v>#VALUE!</v>
      </c>
      <c r="R4" s="7" t="str">
        <f>J4</f>
        <v>##cdsTimeSpaceMetamorphism##MAXAGE</v>
      </c>
      <c r="S4" s="9" t="str">
        <f t="shared" si="1"/>
        <v>##cdsTimeSpaceMetamorphism##DOMAINID</v>
      </c>
      <c r="T4" s="4"/>
    </row>
    <row r="5" spans="1:20" x14ac:dyDescent="0.2">
      <c r="A5" s="1" t="str">
        <f>A2</f>
        <v>##cdsTimeSpaceMetamorphism##CHARTID</v>
      </c>
      <c r="B5" s="1" t="str">
        <f>B2</f>
        <v>##cdsTimeSpaceMetamorphism##DOMAINORDER</v>
      </c>
      <c r="C5" s="1" t="str">
        <f>C2</f>
        <v>##cdsTimeSpaceMetamorphism##METAMORPHISMORDER</v>
      </c>
      <c r="D5" s="1">
        <v>3</v>
      </c>
      <c r="E5" s="1" t="str">
        <f t="shared" ref="E5:O5" si="4">E2</f>
        <v>##cdsTimeSpaceMetamorphism##DOMAINID</v>
      </c>
      <c r="F5" s="1" t="str">
        <f t="shared" si="4"/>
        <v>##cdsTimeSpaceMetamorphism##CHARTOFFSET_MM</v>
      </c>
      <c r="G5" s="1" t="str">
        <f t="shared" si="4"/>
        <v>##cdsTimeSpaceMetamorphism##DOMAINOFFSET_MM</v>
      </c>
      <c r="H5" s="1" t="str">
        <f t="shared" si="4"/>
        <v>##cdsTimeSpaceMetamorphism##PEAKAGE</v>
      </c>
      <c r="I5" s="2" t="str">
        <f t="shared" si="4"/>
        <v>##cdsTimeSpaceMetamorphism##MINAGE</v>
      </c>
      <c r="J5" s="2" t="str">
        <f t="shared" si="4"/>
        <v>##cdsTimeSpaceMetamorphism##MAXAGE</v>
      </c>
      <c r="K5" s="1" t="str">
        <f t="shared" si="4"/>
        <v>##cdsTimeSpaceMetamorphism##GRADE</v>
      </c>
      <c r="L5" s="1" t="str">
        <f t="shared" si="4"/>
        <v>##cdsTimeSpaceMetamorphism##DOMAINNAME</v>
      </c>
      <c r="M5" s="1" t="str">
        <f t="shared" si="4"/>
        <v>##cdsTimeSpaceMetamorphism##DOMAINTYPE</v>
      </c>
      <c r="N5" s="1" t="str">
        <f t="shared" si="4"/>
        <v>##cdsTimeSpaceMetamorphism##OROGENY</v>
      </c>
      <c r="O5" s="8" t="str">
        <f t="shared" si="4"/>
        <v>##cdsTimeSpaceMetamorphism##DOMAINID</v>
      </c>
      <c r="P5" s="6">
        <f t="shared" si="0"/>
        <v>3</v>
      </c>
      <c r="Q5" s="6" t="e">
        <f>F5+G5*B5+(G5-10)</f>
        <v>#VALUE!</v>
      </c>
      <c r="R5" s="7" t="str">
        <f>J4</f>
        <v>##cdsTimeSpaceMetamorphism##MAXAGE</v>
      </c>
      <c r="S5" s="9" t="str">
        <f t="shared" si="1"/>
        <v>##cdsTimeSpaceMetamorphism##DOMAINID</v>
      </c>
      <c r="T5" s="4"/>
    </row>
    <row r="6" spans="1:20" x14ac:dyDescent="0.2">
      <c r="A6" s="1" t="str">
        <f>A2</f>
        <v>##cdsTimeSpaceMetamorphism##CHARTID</v>
      </c>
      <c r="B6" s="1" t="str">
        <f>B2</f>
        <v>##cdsTimeSpaceMetamorphism##DOMAINORDER</v>
      </c>
      <c r="C6" s="1" t="str">
        <f>C2</f>
        <v>##cdsTimeSpaceMetamorphism##METAMORPHISMORDER</v>
      </c>
      <c r="D6" s="1">
        <v>4</v>
      </c>
      <c r="E6" s="1" t="str">
        <f t="shared" ref="E6:O6" si="5">E2</f>
        <v>##cdsTimeSpaceMetamorphism##DOMAINID</v>
      </c>
      <c r="F6" s="1" t="str">
        <f t="shared" si="5"/>
        <v>##cdsTimeSpaceMetamorphism##CHARTOFFSET_MM</v>
      </c>
      <c r="G6" s="1" t="str">
        <f t="shared" si="5"/>
        <v>##cdsTimeSpaceMetamorphism##DOMAINOFFSET_MM</v>
      </c>
      <c r="H6" s="1" t="str">
        <f t="shared" si="5"/>
        <v>##cdsTimeSpaceMetamorphism##PEAKAGE</v>
      </c>
      <c r="I6" s="2" t="str">
        <f t="shared" si="5"/>
        <v>##cdsTimeSpaceMetamorphism##MINAGE</v>
      </c>
      <c r="J6" s="2" t="str">
        <f t="shared" si="5"/>
        <v>##cdsTimeSpaceMetamorphism##MAXAGE</v>
      </c>
      <c r="K6" s="1" t="str">
        <f t="shared" si="5"/>
        <v>##cdsTimeSpaceMetamorphism##GRADE</v>
      </c>
      <c r="L6" s="1" t="str">
        <f t="shared" si="5"/>
        <v>##cdsTimeSpaceMetamorphism##DOMAINNAME</v>
      </c>
      <c r="M6" s="1" t="str">
        <f t="shared" si="5"/>
        <v>##cdsTimeSpaceMetamorphism##DOMAINTYPE</v>
      </c>
      <c r="N6" s="1" t="str">
        <f t="shared" si="5"/>
        <v>##cdsTimeSpaceMetamorphism##OROGENY</v>
      </c>
      <c r="O6" s="8" t="str">
        <f t="shared" si="5"/>
        <v>##cdsTimeSpaceMetamorphism##DOMAINID</v>
      </c>
      <c r="P6" s="6">
        <f t="shared" si="0"/>
        <v>4</v>
      </c>
      <c r="Q6" s="6" t="e">
        <f>F6+G6*B6+(G6-10)</f>
        <v>#VALUE!</v>
      </c>
      <c r="R6" s="7" t="str">
        <f>I6</f>
        <v>##cdsTimeSpaceMetamorphism##MINAGE</v>
      </c>
      <c r="S6" s="9" t="str">
        <f t="shared" si="1"/>
        <v>##cdsTimeSpaceMetamorphism##DOMAINID</v>
      </c>
      <c r="T6" s="4"/>
    </row>
    <row r="7" spans="1:20" x14ac:dyDescent="0.2">
      <c r="A7" s="1" t="str">
        <f>A2</f>
        <v>##cdsTimeSpaceMetamorphism##CHARTID</v>
      </c>
      <c r="B7" s="1" t="str">
        <f>B2</f>
        <v>##cdsTimeSpaceMetamorphism##DOMAINORDER</v>
      </c>
      <c r="C7" s="1" t="str">
        <f>C2</f>
        <v>##cdsTimeSpaceMetamorphism##METAMORPHISMORDER</v>
      </c>
      <c r="D7" s="1">
        <v>5</v>
      </c>
      <c r="E7" s="1" t="str">
        <f t="shared" ref="E7:O7" si="6">E2</f>
        <v>##cdsTimeSpaceMetamorphism##DOMAINID</v>
      </c>
      <c r="F7" s="1" t="str">
        <f t="shared" si="6"/>
        <v>##cdsTimeSpaceMetamorphism##CHARTOFFSET_MM</v>
      </c>
      <c r="G7" s="1" t="str">
        <f t="shared" si="6"/>
        <v>##cdsTimeSpaceMetamorphism##DOMAINOFFSET_MM</v>
      </c>
      <c r="H7" s="1" t="str">
        <f t="shared" si="6"/>
        <v>##cdsTimeSpaceMetamorphism##PEAKAGE</v>
      </c>
      <c r="I7" s="2" t="str">
        <f t="shared" si="6"/>
        <v>##cdsTimeSpaceMetamorphism##MINAGE</v>
      </c>
      <c r="J7" s="2" t="str">
        <f t="shared" si="6"/>
        <v>##cdsTimeSpaceMetamorphism##MAXAGE</v>
      </c>
      <c r="K7" s="1" t="str">
        <f t="shared" si="6"/>
        <v>##cdsTimeSpaceMetamorphism##GRADE</v>
      </c>
      <c r="L7" s="1" t="str">
        <f t="shared" si="6"/>
        <v>##cdsTimeSpaceMetamorphism##DOMAINNAME</v>
      </c>
      <c r="M7" s="1" t="str">
        <f t="shared" si="6"/>
        <v>##cdsTimeSpaceMetamorphism##DOMAINTYPE</v>
      </c>
      <c r="N7" s="1" t="str">
        <f t="shared" si="6"/>
        <v>##cdsTimeSpaceMetamorphism##OROGENY</v>
      </c>
      <c r="O7" s="8" t="str">
        <f t="shared" si="6"/>
        <v>##cdsTimeSpaceMetamorphism##DOMAINID</v>
      </c>
      <c r="P7" s="6">
        <f t="shared" si="0"/>
        <v>5</v>
      </c>
      <c r="Q7" s="6" t="e">
        <f>F7+G7*B7</f>
        <v>#VALUE!</v>
      </c>
      <c r="R7" s="7" t="str">
        <f>I7</f>
        <v>##cdsTimeSpaceMetamorphism##MINAGE</v>
      </c>
      <c r="S7" s="9" t="str">
        <f t="shared" si="1"/>
        <v>##cdsTimeSpaceMetamorphism##DOMAINID</v>
      </c>
      <c r="T7" s="4"/>
    </row>
  </sheetData>
  <pageMargins left="0.75" right="0.75" top="1" bottom="1" header="0.5" footer="0.5"/>
  <pageSetup orientation="portrait" verticalDpi="0" r:id="rId1"/>
  <headerFooter alignWithMargins="0">
    <oddFooter>Page &amp;P of 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9"/>
  <sheetViews>
    <sheetView workbookViewId="0"/>
  </sheetViews>
  <sheetFormatPr defaultColWidth="9.140625" defaultRowHeight="15" x14ac:dyDescent="0.25"/>
  <cols>
    <col min="1" max="1" width="17.7109375" style="10" customWidth="1"/>
    <col min="2" max="2" width="18.7109375" style="10" customWidth="1"/>
    <col min="3" max="3" width="32.7109375" style="10" customWidth="1"/>
    <col min="4" max="4" width="24.7109375" style="10" customWidth="1"/>
    <col min="5" max="7" width="1.7109375" style="10" customWidth="1"/>
    <col min="8" max="8" width="14.7109375" style="10" customWidth="1"/>
    <col min="9" max="9" width="11.7109375" style="10" customWidth="1"/>
    <col min="10" max="12" width="1.7109375" style="10" customWidth="1"/>
    <col min="13" max="13" width="14.7109375" style="10" customWidth="1"/>
    <col min="14" max="14" width="20.7109375" style="10" customWidth="1"/>
  </cols>
  <sheetData>
    <row r="1" spans="1:14" s="11" customFormat="1" ht="18.75" x14ac:dyDescent="0.3">
      <c r="A1" s="11" t="s">
        <v>19</v>
      </c>
    </row>
    <row r="3" spans="1:14" x14ac:dyDescent="0.25">
      <c r="A3" s="12" t="s">
        <v>20</v>
      </c>
    </row>
    <row r="4" spans="1:14" x14ac:dyDescent="0.25">
      <c r="A4" s="12" t="s">
        <v>21</v>
      </c>
    </row>
    <row r="5" spans="1:14" x14ac:dyDescent="0.25">
      <c r="A5" s="12" t="s">
        <v>22</v>
      </c>
    </row>
    <row r="8" spans="1:14" x14ac:dyDescent="0.25">
      <c r="A8" s="12" t="s">
        <v>23</v>
      </c>
      <c r="B8" s="12"/>
      <c r="C8" s="12"/>
      <c r="D8" s="12"/>
      <c r="H8" s="12" t="s">
        <v>24</v>
      </c>
      <c r="I8" s="12"/>
      <c r="M8" s="12" t="s">
        <v>25</v>
      </c>
      <c r="N8" s="12"/>
    </row>
    <row r="9" spans="1:14" ht="30" x14ac:dyDescent="0.25">
      <c r="A9" s="13" t="s">
        <v>26</v>
      </c>
      <c r="B9" s="13" t="s">
        <v>27</v>
      </c>
      <c r="C9" s="13" t="s">
        <v>28</v>
      </c>
      <c r="D9" s="13" t="s">
        <v>29</v>
      </c>
      <c r="H9" s="13" t="s">
        <v>30</v>
      </c>
      <c r="I9" s="13" t="s">
        <v>31</v>
      </c>
      <c r="M9" s="13" t="s">
        <v>32</v>
      </c>
      <c r="N9" s="13" t="s">
        <v>33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gistest</vt:lpstr>
      <vt:lpstr>&lt;#Config&gt;</vt:lpstr>
      <vt:lpstr>__cdsTimeSpaceMetamorphism__</vt:lpstr>
      <vt:lpstr>__Polygon__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Eglington, Bruce</cp:lastModifiedBy>
  <dcterms:created xsi:type="dcterms:W3CDTF">2019-04-29T22:41:45Z</dcterms:created>
  <dcterms:modified xsi:type="dcterms:W3CDTF">2019-05-03T21:19:42Z</dcterms:modified>
</cp:coreProperties>
</file>