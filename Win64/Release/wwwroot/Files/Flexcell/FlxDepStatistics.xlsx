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257EA174-72D9-472C-9477-3DEDA4DF9688}" xr6:coauthVersionLast="47" xr6:coauthVersionMax="47" xr10:uidLastSave="{00000000-0000-0000-0000-000000000000}"/>
  <bookViews>
    <workbookView xWindow="1200" yWindow="6165" windowWidth="27000" windowHeight="8115" xr2:uid="{00000000-000D-0000-FFFF-FFFF00000000}"/>
  </bookViews>
  <sheets>
    <sheet name="Sheet1" sheetId="1" r:id="rId1"/>
  </sheets>
  <definedNames>
    <definedName name="__cdsDepStatistics__">Sheet1!$A$2:$CF$2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F2" i="1" l="1"/>
  <c r="CE2" i="1"/>
  <c r="CD2" i="1"/>
  <c r="CC2" i="1"/>
  <c r="CB2" i="1"/>
  <c r="CA2" i="1"/>
  <c r="BZ2" i="1"/>
  <c r="BY2" i="1"/>
  <c r="BX2" i="1"/>
  <c r="BW2" i="1"/>
  <c r="BV2" i="1"/>
</calcChain>
</file>

<file path=xl/sharedStrings.xml><?xml version="1.0" encoding="utf-8"?>
<sst xmlns="http://schemas.openxmlformats.org/spreadsheetml/2006/main" count="148" uniqueCount="148">
  <si>
    <t>Longitude</t>
  </si>
  <si>
    <t>Latitude</t>
  </si>
  <si>
    <t>DepositID</t>
  </si>
  <si>
    <t>DepositName</t>
  </si>
  <si>
    <t>ParentID</t>
  </si>
  <si>
    <t>DepositClanID</t>
  </si>
  <si>
    <t>CountryID</t>
  </si>
  <si>
    <t>Based_on</t>
  </si>
  <si>
    <t>NumPb</t>
  </si>
  <si>
    <t>Pb_model</t>
  </si>
  <si>
    <t>NumS</t>
  </si>
  <si>
    <t>NumSO4</t>
  </si>
  <si>
    <r>
      <t>IQR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</si>
  <si>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t>IQR</t>
    </r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</si>
  <si>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t>IQR</t>
    </r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</si>
  <si>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t>IQR</t>
    </r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</si>
  <si>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t>IQR</t>
    </r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</si>
  <si>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t>IQR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source</t>
    </r>
  </si>
  <si>
    <r>
      <t>IQR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model</t>
    </r>
  </si>
  <si>
    <r>
      <t>IQR</t>
    </r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model</t>
    </r>
  </si>
  <si>
    <r>
      <t>IQR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smp</t>
    </r>
  </si>
  <si>
    <r>
      <t>IQR</t>
    </r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sulphide</t>
    </r>
  </si>
  <si>
    <r>
      <t>IQR</t>
    </r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sulphate</t>
    </r>
  </si>
  <si>
    <r>
      <t>pcVarIQR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</si>
  <si>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t>pcVarIQR</t>
    </r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</si>
  <si>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t>pcVarIQR</t>
    </r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</si>
  <si>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t>pcVarIQR</t>
    </r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</si>
  <si>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t>pcVarIQR</t>
    </r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</si>
  <si>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t>pcVarIQR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source</t>
    </r>
  </si>
  <si>
    <r>
      <t>pcVarIQR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model</t>
    </r>
  </si>
  <si>
    <r>
      <t>pcVarIQR</t>
    </r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model</t>
    </r>
  </si>
  <si>
    <r>
      <t>pcVarIQR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smp</t>
    </r>
  </si>
  <si>
    <r>
      <t>pcVarIQR</t>
    </r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sulphide</t>
    </r>
  </si>
  <si>
    <r>
      <t>pcVarIQR</t>
    </r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sulphate</t>
    </r>
  </si>
  <si>
    <r>
      <t>Md</t>
    </r>
    <r>
      <rPr>
        <b/>
        <vertAlign val="superscript"/>
        <sz val="10"/>
        <rFont val="Arial"/>
        <family val="2"/>
      </rPr>
      <t>206204</t>
    </r>
  </si>
  <si>
    <r>
      <t>Md</t>
    </r>
    <r>
      <rPr>
        <b/>
        <vertAlign val="superscript"/>
        <sz val="10"/>
        <rFont val="Arial"/>
        <family val="2"/>
      </rPr>
      <t>207204</t>
    </r>
  </si>
  <si>
    <r>
      <t>Md</t>
    </r>
    <r>
      <rPr>
        <b/>
        <vertAlign val="superscript"/>
        <sz val="10"/>
        <rFont val="Arial"/>
        <family val="2"/>
      </rPr>
      <t>238204</t>
    </r>
    <r>
      <rPr>
        <b/>
        <vertAlign val="subscript"/>
        <sz val="10"/>
        <rFont val="Arial"/>
        <family val="2"/>
      </rPr>
      <t>sr</t>
    </r>
  </si>
  <si>
    <r>
      <t>Md</t>
    </r>
    <r>
      <rPr>
        <b/>
        <vertAlign val="superscript"/>
        <sz val="10"/>
        <rFont val="Arial"/>
        <family val="2"/>
      </rPr>
      <t>208204</t>
    </r>
  </si>
  <si>
    <r>
      <t>Md</t>
    </r>
    <r>
      <rPr>
        <b/>
        <vertAlign val="superscript"/>
        <sz val="10"/>
        <rFont val="Arial"/>
        <family val="2"/>
      </rPr>
      <t>207206</t>
    </r>
  </si>
  <si>
    <r>
      <t>Md</t>
    </r>
    <r>
      <rPr>
        <b/>
        <vertAlign val="superscript"/>
        <sz val="10"/>
        <rFont val="Arial"/>
        <family val="2"/>
      </rPr>
      <t>208206</t>
    </r>
  </si>
  <si>
    <r>
      <t>Md</t>
    </r>
    <r>
      <rPr>
        <b/>
        <vertAlign val="superscript"/>
        <sz val="10"/>
        <rFont val="Arial"/>
        <family val="2"/>
      </rPr>
      <t>206204</t>
    </r>
    <r>
      <rPr>
        <b/>
        <vertAlign val="subscript"/>
        <sz val="10"/>
        <rFont val="Arial"/>
        <family val="2"/>
      </rPr>
      <t>md</t>
    </r>
  </si>
  <si>
    <r>
      <t>Md</t>
    </r>
    <r>
      <rPr>
        <b/>
        <vertAlign val="superscript"/>
        <sz val="10"/>
        <rFont val="Arial"/>
        <family val="2"/>
      </rPr>
      <t>207204</t>
    </r>
    <r>
      <rPr>
        <b/>
        <vertAlign val="subscript"/>
        <sz val="10"/>
        <rFont val="Arial"/>
        <family val="2"/>
      </rPr>
      <t>md</t>
    </r>
  </si>
  <si>
    <r>
      <t>Md</t>
    </r>
    <r>
      <rPr>
        <b/>
        <vertAlign val="superscript"/>
        <sz val="10"/>
        <rFont val="Arial"/>
        <family val="2"/>
      </rPr>
      <t>238204</t>
    </r>
    <r>
      <rPr>
        <b/>
        <vertAlign val="subscript"/>
        <sz val="10"/>
        <rFont val="Arial"/>
        <family val="2"/>
      </rPr>
      <t>sm</t>
    </r>
  </si>
  <si>
    <r>
      <t>s</t>
    </r>
    <r>
      <rPr>
        <b/>
        <vertAlign val="superscript"/>
        <sz val="10"/>
        <rFont val="Arial"/>
        <family val="2"/>
      </rPr>
      <t>206204</t>
    </r>
  </si>
  <si>
    <r>
      <t>s</t>
    </r>
    <r>
      <rPr>
        <b/>
        <vertAlign val="superscript"/>
        <sz val="10"/>
        <rFont val="Arial"/>
        <family val="2"/>
      </rPr>
      <t>207204</t>
    </r>
  </si>
  <si>
    <r>
      <t>s</t>
    </r>
    <r>
      <rPr>
        <b/>
        <vertAlign val="superscript"/>
        <sz val="10"/>
        <rFont val="Arial"/>
        <family val="2"/>
      </rPr>
      <t>208204</t>
    </r>
  </si>
  <si>
    <r>
      <t>s</t>
    </r>
    <r>
      <rPr>
        <b/>
        <vertAlign val="superscript"/>
        <sz val="10"/>
        <rFont val="Arial"/>
        <family val="2"/>
      </rPr>
      <t>207206</t>
    </r>
  </si>
  <si>
    <r>
      <t>s</t>
    </r>
    <r>
      <rPr>
        <b/>
        <vertAlign val="superscript"/>
        <sz val="10"/>
        <rFont val="Arial"/>
        <family val="2"/>
      </rPr>
      <t>208206</t>
    </r>
  </si>
  <si>
    <r>
      <t>s</t>
    </r>
    <r>
      <rPr>
        <b/>
        <vertAlign val="superscript"/>
        <sz val="10"/>
        <rFont val="Arial"/>
        <family val="2"/>
      </rPr>
      <t>238204</t>
    </r>
    <r>
      <rPr>
        <b/>
        <vertAlign val="subscript"/>
        <sz val="10"/>
        <rFont val="Arial"/>
        <family val="2"/>
      </rPr>
      <t>sr</t>
    </r>
  </si>
  <si>
    <r>
      <t>s</t>
    </r>
    <r>
      <rPr>
        <b/>
        <vertAlign val="superscript"/>
        <sz val="10"/>
        <rFont val="Arial"/>
        <family val="2"/>
      </rPr>
      <t>206204</t>
    </r>
    <r>
      <rPr>
        <b/>
        <vertAlign val="subscript"/>
        <sz val="10"/>
        <rFont val="Arial"/>
        <family val="2"/>
      </rPr>
      <t>md</t>
    </r>
  </si>
  <si>
    <r>
      <t>s</t>
    </r>
    <r>
      <rPr>
        <b/>
        <vertAlign val="superscript"/>
        <sz val="10"/>
        <rFont val="Arial"/>
        <family val="2"/>
      </rPr>
      <t>207204</t>
    </r>
    <r>
      <rPr>
        <b/>
        <vertAlign val="subscript"/>
        <sz val="10"/>
        <rFont val="Arial"/>
        <family val="2"/>
      </rPr>
      <t>md</t>
    </r>
  </si>
  <si>
    <r>
      <t>s</t>
    </r>
    <r>
      <rPr>
        <b/>
        <vertAlign val="superscript"/>
        <sz val="10"/>
        <rFont val="Arial"/>
        <family val="2"/>
      </rPr>
      <t>238204</t>
    </r>
    <r>
      <rPr>
        <b/>
        <vertAlign val="subscript"/>
        <sz val="10"/>
        <rFont val="Arial"/>
        <family val="2"/>
      </rPr>
      <t>sm</t>
    </r>
  </si>
  <si>
    <r>
      <t>cv</t>
    </r>
    <r>
      <rPr>
        <b/>
        <vertAlign val="superscript"/>
        <sz val="10"/>
        <rFont val="Arial"/>
        <family val="2"/>
      </rPr>
      <t>206204</t>
    </r>
  </si>
  <si>
    <r>
      <t>cv</t>
    </r>
    <r>
      <rPr>
        <b/>
        <vertAlign val="superscript"/>
        <sz val="10"/>
        <rFont val="Arial"/>
        <family val="2"/>
      </rPr>
      <t>207204</t>
    </r>
  </si>
  <si>
    <r>
      <t>cv</t>
    </r>
    <r>
      <rPr>
        <b/>
        <vertAlign val="superscript"/>
        <sz val="10"/>
        <rFont val="Arial"/>
        <family val="2"/>
      </rPr>
      <t>208204</t>
    </r>
  </si>
  <si>
    <r>
      <t>cv</t>
    </r>
    <r>
      <rPr>
        <b/>
        <vertAlign val="superscript"/>
        <sz val="10"/>
        <rFont val="Arial"/>
        <family val="2"/>
      </rPr>
      <t>207206</t>
    </r>
  </si>
  <si>
    <r>
      <t>cv</t>
    </r>
    <r>
      <rPr>
        <b/>
        <vertAlign val="superscript"/>
        <sz val="10"/>
        <rFont val="Arial"/>
        <family val="2"/>
      </rPr>
      <t>208206</t>
    </r>
  </si>
  <si>
    <r>
      <t>cv</t>
    </r>
    <r>
      <rPr>
        <b/>
        <vertAlign val="superscript"/>
        <sz val="10"/>
        <rFont val="Arial"/>
        <family val="2"/>
      </rPr>
      <t>238204</t>
    </r>
    <r>
      <rPr>
        <b/>
        <vertAlign val="subscript"/>
        <sz val="10"/>
        <rFont val="Arial"/>
        <family val="2"/>
      </rPr>
      <t>sr</t>
    </r>
  </si>
  <si>
    <r>
      <t>cv</t>
    </r>
    <r>
      <rPr>
        <b/>
        <vertAlign val="superscript"/>
        <sz val="10"/>
        <rFont val="Arial"/>
        <family val="2"/>
      </rPr>
      <t>206204</t>
    </r>
    <r>
      <rPr>
        <b/>
        <vertAlign val="subscript"/>
        <sz val="10"/>
        <rFont val="Arial"/>
        <family val="2"/>
      </rPr>
      <t>md</t>
    </r>
  </si>
  <si>
    <r>
      <t>cv</t>
    </r>
    <r>
      <rPr>
        <b/>
        <vertAlign val="superscript"/>
        <sz val="10"/>
        <rFont val="Arial"/>
        <family val="2"/>
      </rPr>
      <t>207204</t>
    </r>
    <r>
      <rPr>
        <b/>
        <vertAlign val="subscript"/>
        <sz val="10"/>
        <rFont val="Arial"/>
        <family val="2"/>
      </rPr>
      <t>md</t>
    </r>
  </si>
  <si>
    <r>
      <t>cv</t>
    </r>
    <r>
      <rPr>
        <b/>
        <vertAlign val="superscript"/>
        <sz val="10"/>
        <rFont val="Arial"/>
        <family val="2"/>
      </rPr>
      <t>238204</t>
    </r>
    <r>
      <rPr>
        <b/>
        <vertAlign val="subscript"/>
        <sz val="10"/>
        <rFont val="Arial"/>
        <family val="2"/>
      </rPr>
      <t>sm</t>
    </r>
  </si>
  <si>
    <t>StratAge</t>
  </si>
  <si>
    <t>StratAgepm95</t>
  </si>
  <si>
    <t>AgeMa</t>
  </si>
  <si>
    <t>Agepm95</t>
  </si>
  <si>
    <t>&lt;#cdsDepStatistics.SDBDEPOSITID&gt;</t>
  </si>
  <si>
    <t>&lt;#cdsDepStatistics.DEPOSITNAME&gt;</t>
  </si>
  <si>
    <t>&lt;#cdsDepStatistics.DEPOSITPARENTID&gt;</t>
  </si>
  <si>
    <t>&lt;#cdsDepStatistics.DEPOSITCLANID&gt;</t>
  </si>
  <si>
    <t>&lt;#cdsDepStatistics.COUNTRYID&gt;</t>
  </si>
  <si>
    <t>&lt;#cdsDepStatistics.APPROXAGE&gt;</t>
  </si>
  <si>
    <t>&lt;#cdsDepStatistics.APPROXAGEUNCERTAINTY&gt;</t>
  </si>
  <si>
    <t>&lt;#cdsDepStatistics.DATINGTYPEID&gt;</t>
  </si>
  <si>
    <t>&lt;#cdsDepStatistics.DEPLONGITUDE&gt;</t>
  </si>
  <si>
    <t>&lt;#cdsDepStatistics.DEPLATITUDE&gt;</t>
  </si>
  <si>
    <t>&lt;#cdsDepStatistics.COUNTPB&gt;</t>
  </si>
  <si>
    <t>&lt;#cdsDepStatistics.MEDIAN64&gt;</t>
  </si>
  <si>
    <t>&lt;#cdsDepStatistics.MEDIAN74&gt;</t>
  </si>
  <si>
    <t>&lt;#cdsDepStatistics.MEDIAN84&gt;</t>
  </si>
  <si>
    <t>&lt;#cdsDepStatistics.MEDIAN76&gt;</t>
  </si>
  <si>
    <t>&lt;#cdsDepStatistics.MEDIAN86&gt;</t>
  </si>
  <si>
    <t>&lt;#cdsDepStatistics.MEDIANMU&gt;</t>
  </si>
  <si>
    <t>&lt;#cdsDepStatistics.MEDIAN64MODEL&gt;</t>
  </si>
  <si>
    <t>&lt;#cdsDepStatistics.MEDIAN74MODEL&gt;</t>
  </si>
  <si>
    <t>&lt;#cdsDepStatistics.MEDIANMUSAMPLES&gt;</t>
  </si>
  <si>
    <t>&lt;#cdsDepStatistics.MODELID&gt;</t>
  </si>
  <si>
    <t>&lt;#cdsDepStatistics.COUNTS&gt;</t>
  </si>
  <si>
    <t>&lt;#cdsDepStatistics.MEDIANS34&gt;</t>
  </si>
  <si>
    <t>&lt;#cdsDepStatistics.COUNTSO4&gt;</t>
  </si>
  <si>
    <t>&lt;#cdsDepStatistics.MEDIANSO434&gt;</t>
  </si>
  <si>
    <t>&lt;#cdsDepStatistics.SDEV64&gt;</t>
  </si>
  <si>
    <t>&lt;#cdsDepStatistics.SDEV74&gt;</t>
  </si>
  <si>
    <t>&lt;#cdsDepStatistics.SDEV84&gt;</t>
  </si>
  <si>
    <t>&lt;#cdsDepStatistics.SDEV76&gt;</t>
  </si>
  <si>
    <t>&lt;#cdsDepStatistics.SDEV86&gt;</t>
  </si>
  <si>
    <t>&lt;#cdsDepStatistics.SDEVMU&gt;</t>
  </si>
  <si>
    <t>&lt;#cdsDepStatistics.SDEV64MODEL&gt;</t>
  </si>
  <si>
    <t>&lt;#cdsDepStatistics.SDEV74MODEL&gt;</t>
  </si>
  <si>
    <t>&lt;#cdsDepStatistics.SDEVMUSMP&gt;</t>
  </si>
  <si>
    <t>&lt;#cdsDepStatistics.COEFFVAR64&gt;</t>
  </si>
  <si>
    <t>&lt;#cdsDepStatistics.COEFFVAR74&gt;</t>
  </si>
  <si>
    <t>&lt;#cdsDepStatistics.COEFFVAR84&gt;</t>
  </si>
  <si>
    <t>&lt;#cdsDepStatistics.COEFFVAR76&gt;</t>
  </si>
  <si>
    <t>&lt;#cdsDepStatistics.COEFFVAR86&gt;</t>
  </si>
  <si>
    <t>&lt;#cdsDepStatistics.COEFFVARMU&gt;</t>
  </si>
  <si>
    <t>&lt;#cdsDepStatistics.COEFFVAR64MODEL&gt;</t>
  </si>
  <si>
    <t>&lt;#cdsDepStatistics.COEFFVAR74MODEL&gt;</t>
  </si>
  <si>
    <t>&lt;#cdsDepStatistics.APPROXSTRATAGE&gt;</t>
  </si>
  <si>
    <t>&lt;#cdsDepStatistics.APPROXSTRATAGEUNCERTAINTY&gt;</t>
  </si>
  <si>
    <t>&lt;#cdsDepStatistics.IQR64&gt;</t>
  </si>
  <si>
    <t>&lt;#cdsDepStatistics.IQR74&gt;</t>
  </si>
  <si>
    <t>&lt;#cdsDepStatistics.IQR84&gt;</t>
  </si>
  <si>
    <t>&lt;#cdsDepStatistics.IQR76&gt;</t>
  </si>
  <si>
    <t>&lt;#cdsDepStatistics.IQR86&gt;</t>
  </si>
  <si>
    <t>&lt;#cdsDepStatistics.IQRMU&gt;</t>
  </si>
  <si>
    <t>&lt;#cdsDepStatistics.IQR64MODEL&gt;</t>
  </si>
  <si>
    <t>&lt;#cdsDepStatistics.IQR74MODEL&gt;</t>
  </si>
  <si>
    <t>&lt;#cdsDepStatistics.IQRMUSMP&gt;</t>
  </si>
  <si>
    <t>&lt;#cdsDepStatistics.IQRS34&gt;</t>
  </si>
  <si>
    <t>&lt;#cdsDepStatistics.IQRSO434&gt;</t>
  </si>
  <si>
    <t>DepositClan</t>
  </si>
  <si>
    <t>&lt;#cdsDepStatistics.DEPOSITCLAN&gt;</t>
  </si>
  <si>
    <r>
      <t>Md</t>
    </r>
    <r>
      <rPr>
        <b/>
        <vertAlign val="superscript"/>
        <sz val="10"/>
        <rFont val="Arial"/>
        <family val="2"/>
      </rPr>
      <t>87</t>
    </r>
    <r>
      <rPr>
        <b/>
        <sz val="10"/>
        <rFont val="Arial"/>
        <family val="2"/>
      </rPr>
      <t>Sr</t>
    </r>
  </si>
  <si>
    <r>
      <t>Md</t>
    </r>
    <r>
      <rPr>
        <b/>
        <vertAlign val="superscript"/>
        <sz val="10"/>
        <rFont val="Arial"/>
        <family val="2"/>
      </rPr>
      <t>143</t>
    </r>
    <r>
      <rPr>
        <b/>
        <sz val="10"/>
        <rFont val="Arial"/>
        <family val="2"/>
      </rPr>
      <t>Nd</t>
    </r>
  </si>
  <si>
    <r>
      <t>Md</t>
    </r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</t>
    </r>
  </si>
  <si>
    <r>
      <t>Md</t>
    </r>
    <r>
      <rPr>
        <b/>
        <vertAlign val="superscript"/>
        <sz val="10"/>
        <rFont val="Arial"/>
        <family val="2"/>
      </rPr>
      <t>187</t>
    </r>
    <r>
      <rPr>
        <b/>
        <sz val="10"/>
        <rFont val="Arial"/>
        <family val="2"/>
      </rPr>
      <t>Os</t>
    </r>
  </si>
  <si>
    <r>
      <t>Md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S_S</t>
    </r>
  </si>
  <si>
    <r>
      <t>Md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S_SO4</t>
    </r>
  </si>
  <si>
    <r>
      <t>IQR</t>
    </r>
    <r>
      <rPr>
        <b/>
        <vertAlign val="superscript"/>
        <sz val="10"/>
        <rFont val="Arial"/>
        <family val="2"/>
      </rPr>
      <t>87</t>
    </r>
    <r>
      <rPr>
        <b/>
        <sz val="10"/>
        <rFont val="Arial"/>
        <family val="2"/>
      </rPr>
      <t>Sr</t>
    </r>
    <r>
      <rPr>
        <b/>
        <vertAlign val="superscript"/>
        <sz val="10"/>
        <rFont val="Arial"/>
        <family val="2"/>
      </rPr>
      <t>86</t>
    </r>
    <r>
      <rPr>
        <b/>
        <sz val="10"/>
        <rFont val="Arial"/>
        <family val="2"/>
      </rPr>
      <t>Sr</t>
    </r>
    <r>
      <rPr>
        <b/>
        <vertAlign val="subscript"/>
        <sz val="10"/>
        <rFont val="Arial"/>
        <family val="2"/>
      </rPr>
      <t>i</t>
    </r>
  </si>
  <si>
    <r>
      <t>IQR</t>
    </r>
    <r>
      <rPr>
        <b/>
        <vertAlign val="superscript"/>
        <sz val="10"/>
        <rFont val="Arial"/>
        <family val="2"/>
      </rPr>
      <t>143</t>
    </r>
    <r>
      <rPr>
        <b/>
        <sz val="10"/>
        <rFont val="Arial"/>
        <family val="2"/>
      </rPr>
      <t>Nd</t>
    </r>
    <r>
      <rPr>
        <b/>
        <vertAlign val="superscript"/>
        <sz val="10"/>
        <rFont val="Arial"/>
        <family val="2"/>
      </rPr>
      <t>144</t>
    </r>
    <r>
      <rPr>
        <b/>
        <sz val="10"/>
        <rFont val="Arial"/>
        <family val="2"/>
      </rPr>
      <t>Nd</t>
    </r>
    <r>
      <rPr>
        <b/>
        <vertAlign val="subscript"/>
        <sz val="10"/>
        <rFont val="Arial"/>
        <family val="2"/>
      </rPr>
      <t>i</t>
    </r>
  </si>
  <si>
    <r>
      <t>IQR</t>
    </r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  <r>
      <rPr>
        <b/>
        <vertAlign val="subscript"/>
        <sz val="10"/>
        <rFont val="Arial"/>
        <family val="2"/>
      </rPr>
      <t>i</t>
    </r>
  </si>
  <si>
    <r>
      <t>IQR</t>
    </r>
    <r>
      <rPr>
        <b/>
        <vertAlign val="superscript"/>
        <sz val="10"/>
        <rFont val="Arial"/>
        <family val="2"/>
      </rPr>
      <t>187</t>
    </r>
    <r>
      <rPr>
        <b/>
        <sz val="10"/>
        <rFont val="Arial"/>
        <family val="2"/>
      </rPr>
      <t>Os</t>
    </r>
    <r>
      <rPr>
        <b/>
        <vertAlign val="superscript"/>
        <sz val="10"/>
        <rFont val="Arial"/>
        <family val="2"/>
      </rPr>
      <t>188</t>
    </r>
    <r>
      <rPr>
        <b/>
        <sz val="10"/>
        <rFont val="Arial"/>
        <family val="2"/>
      </rPr>
      <t>Os</t>
    </r>
    <r>
      <rPr>
        <b/>
        <vertAlign val="subscript"/>
        <sz val="10"/>
        <rFont val="Arial"/>
        <family val="2"/>
      </rPr>
      <t>i</t>
    </r>
  </si>
  <si>
    <t>NumSr</t>
  </si>
  <si>
    <t>NumNd</t>
  </si>
  <si>
    <t>NumHf</t>
  </si>
  <si>
    <t>NumOs</t>
  </si>
  <si>
    <t>&lt;#cdsDepStatistics.COUNTSR&gt;</t>
  </si>
  <si>
    <t>&lt;#cdsDepStatistics.COUNTND&gt;</t>
  </si>
  <si>
    <t>&lt;#cdsDepStatistics.COUNTHF&gt;</t>
  </si>
  <si>
    <t>&lt;#cdsDepStatistics.COUNTOS&gt;</t>
  </si>
  <si>
    <r>
      <t>Md</t>
    </r>
    <r>
      <rPr>
        <b/>
        <vertAlign val="superscript"/>
        <sz val="10"/>
        <rFont val="Arial"/>
        <family val="2"/>
      </rPr>
      <t>232238</t>
    </r>
    <r>
      <rPr>
        <b/>
        <vertAlign val="subscript"/>
        <sz val="10"/>
        <rFont val="Arial"/>
        <family val="2"/>
      </rPr>
      <t>sr</t>
    </r>
  </si>
  <si>
    <t>&lt;#cdsDepStatistics.MEDIANTHUMODEL&gt;</t>
  </si>
  <si>
    <r>
      <t>Md</t>
    </r>
    <r>
      <rPr>
        <b/>
        <vertAlign val="superscript"/>
        <sz val="10"/>
        <rFont val="Arial"/>
        <family val="2"/>
      </rPr>
      <t>208204</t>
    </r>
    <r>
      <rPr>
        <b/>
        <vertAlign val="subscript"/>
        <sz val="10"/>
        <rFont val="Arial"/>
        <family val="2"/>
      </rPr>
      <t>md</t>
    </r>
  </si>
  <si>
    <t>&lt;#cdsDepStatistics.MEDIAN84MODEL&gt;</t>
  </si>
  <si>
    <r>
      <t>Md</t>
    </r>
    <r>
      <rPr>
        <b/>
        <vertAlign val="superscript"/>
        <sz val="10"/>
        <rFont val="Arial"/>
        <family val="2"/>
      </rPr>
      <t>232238</t>
    </r>
    <r>
      <rPr>
        <b/>
        <vertAlign val="subscript"/>
        <sz val="10"/>
        <rFont val="Arial"/>
        <family val="2"/>
      </rPr>
      <t>sm</t>
    </r>
  </si>
  <si>
    <t>&lt;#cdsDepStatistics.MEDIANTHUSAMPLES&gt;</t>
  </si>
  <si>
    <t>Material</t>
  </si>
  <si>
    <t>&lt;#cdsDepStatistics.MATERIALABR&gt;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</si>
</sst>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2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"/>
  <sheetViews>
    <sheetView tabSelected="1" topLeftCell="B1" workbookViewId="0">
      <pane ySplit="1" topLeftCell="A2" activePane="bottomLeft" state="frozen"/>
      <selection pane="bottomLeft" activeCell="M2" sqref="M2"/>
    </sheetView>
  </sheetViews>
  <sheetFormatPr defaultRowHeight="12.75" x14ac:dyDescent="0.2"/>
  <cols>
    <col min="1" max="1" width="13.5703125" customWidth="1"/>
    <col min="2" max="2" width="38.7109375" customWidth="1"/>
    <col min="3" max="3" width="14.42578125" customWidth="1"/>
    <col min="4" max="4" width="14" customWidth="1"/>
    <col min="5" max="5" width="13.28515625" customWidth="1"/>
    <col min="6" max="6" width="11.28515625" customWidth="1"/>
    <col min="7" max="7" width="12.85546875" customWidth="1"/>
    <col min="8" max="10" width="14.140625" customWidth="1"/>
    <col min="11" max="11" width="13.85546875" customWidth="1"/>
    <col min="12" max="13" width="9" customWidth="1"/>
    <col min="14" max="25" width="16" customWidth="1"/>
    <col min="26" max="26" width="10.85546875" customWidth="1"/>
    <col min="27" max="27" width="9" customWidth="1"/>
    <col min="28" max="29" width="10.5703125" customWidth="1"/>
    <col min="30" max="43" width="10.7109375" customWidth="1"/>
    <col min="44" max="44" width="14.140625" customWidth="1"/>
    <col min="45" max="46" width="14.42578125" customWidth="1"/>
    <col min="47" max="47" width="12.5703125" customWidth="1"/>
    <col min="48" max="52" width="10.7109375" customWidth="1"/>
    <col min="53" max="53" width="14.28515625" customWidth="1"/>
    <col min="54" max="54" width="14.85546875" customWidth="1"/>
    <col min="55" max="55" width="15.5703125" customWidth="1"/>
    <col min="56" max="56" width="13.140625" customWidth="1"/>
    <col min="57" max="62" width="10.7109375" customWidth="1"/>
    <col min="63" max="63" width="11" customWidth="1"/>
    <col min="64" max="64" width="14" customWidth="1"/>
    <col min="65" max="65" width="14.42578125" customWidth="1"/>
    <col min="66" max="66" width="15.28515625" customWidth="1"/>
    <col min="67" max="73" width="12" customWidth="1"/>
    <col min="74" max="74" width="11.28515625" customWidth="1"/>
    <col min="75" max="75" width="10.42578125" customWidth="1"/>
    <col min="76" max="76" width="11.28515625" customWidth="1"/>
    <col min="77" max="77" width="10.42578125" customWidth="1"/>
    <col min="78" max="78" width="11" customWidth="1"/>
    <col min="79" max="79" width="14.140625" customWidth="1"/>
    <col min="80" max="80" width="14.7109375" customWidth="1"/>
    <col min="81" max="83" width="14.85546875" customWidth="1"/>
    <col min="84" max="84" width="13" customWidth="1"/>
  </cols>
  <sheetData>
    <row r="1" spans="1:84" ht="37.5" customHeight="1" thickBo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120</v>
      </c>
      <c r="F1" s="1" t="s">
        <v>6</v>
      </c>
      <c r="G1" s="1" t="s">
        <v>63</v>
      </c>
      <c r="H1" s="4" t="s">
        <v>64</v>
      </c>
      <c r="I1" s="1" t="s">
        <v>7</v>
      </c>
      <c r="J1" s="1" t="s">
        <v>0</v>
      </c>
      <c r="K1" s="1" t="s">
        <v>1</v>
      </c>
      <c r="L1" s="1" t="s">
        <v>8</v>
      </c>
      <c r="M1" s="1" t="s">
        <v>146</v>
      </c>
      <c r="N1" s="1" t="s">
        <v>34</v>
      </c>
      <c r="O1" s="1" t="s">
        <v>35</v>
      </c>
      <c r="P1" s="1" t="s">
        <v>37</v>
      </c>
      <c r="Q1" s="1" t="s">
        <v>38</v>
      </c>
      <c r="R1" s="1" t="s">
        <v>39</v>
      </c>
      <c r="S1" s="1" t="s">
        <v>36</v>
      </c>
      <c r="T1" s="1" t="s">
        <v>140</v>
      </c>
      <c r="U1" s="1" t="s">
        <v>40</v>
      </c>
      <c r="V1" s="1" t="s">
        <v>41</v>
      </c>
      <c r="W1" s="1" t="s">
        <v>142</v>
      </c>
      <c r="X1" s="1" t="s">
        <v>42</v>
      </c>
      <c r="Y1" s="1" t="s">
        <v>144</v>
      </c>
      <c r="Z1" s="1" t="s">
        <v>9</v>
      </c>
      <c r="AA1" s="1" t="s">
        <v>10</v>
      </c>
      <c r="AB1" s="1" t="s">
        <v>126</v>
      </c>
      <c r="AC1" s="1" t="s">
        <v>11</v>
      </c>
      <c r="AD1" s="1" t="s">
        <v>127</v>
      </c>
      <c r="AE1" s="1" t="s">
        <v>132</v>
      </c>
      <c r="AF1" s="1" t="s">
        <v>122</v>
      </c>
      <c r="AG1" s="1" t="s">
        <v>133</v>
      </c>
      <c r="AH1" s="1" t="s">
        <v>123</v>
      </c>
      <c r="AI1" s="1" t="s">
        <v>134</v>
      </c>
      <c r="AJ1" s="1" t="s">
        <v>124</v>
      </c>
      <c r="AK1" s="1" t="s">
        <v>135</v>
      </c>
      <c r="AL1" s="1" t="s">
        <v>125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4" t="s">
        <v>62</v>
      </c>
      <c r="BG1" s="1" t="s">
        <v>12</v>
      </c>
      <c r="BH1" s="1" t="s">
        <v>13</v>
      </c>
      <c r="BI1" s="1" t="s">
        <v>14</v>
      </c>
      <c r="BJ1" s="1" t="s">
        <v>15</v>
      </c>
      <c r="BK1" s="1" t="s">
        <v>16</v>
      </c>
      <c r="BL1" s="1" t="s">
        <v>17</v>
      </c>
      <c r="BM1" s="1" t="s">
        <v>18</v>
      </c>
      <c r="BN1" s="1" t="s">
        <v>19</v>
      </c>
      <c r="BO1" s="1" t="s">
        <v>20</v>
      </c>
      <c r="BP1" s="1" t="s">
        <v>21</v>
      </c>
      <c r="BQ1" s="1" t="s">
        <v>22</v>
      </c>
      <c r="BR1" s="1" t="s">
        <v>128</v>
      </c>
      <c r="BS1" s="1" t="s">
        <v>129</v>
      </c>
      <c r="BT1" s="1" t="s">
        <v>130</v>
      </c>
      <c r="BU1" s="1" t="s">
        <v>131</v>
      </c>
      <c r="BV1" s="1" t="s">
        <v>23</v>
      </c>
      <c r="BW1" s="1" t="s">
        <v>24</v>
      </c>
      <c r="BX1" s="1" t="s">
        <v>25</v>
      </c>
      <c r="BY1" s="1" t="s">
        <v>26</v>
      </c>
      <c r="BZ1" s="1" t="s">
        <v>27</v>
      </c>
      <c r="CA1" s="1" t="s">
        <v>28</v>
      </c>
      <c r="CB1" s="1" t="s">
        <v>29</v>
      </c>
      <c r="CC1" s="1" t="s">
        <v>30</v>
      </c>
      <c r="CD1" s="1" t="s">
        <v>31</v>
      </c>
      <c r="CE1" s="1" t="s">
        <v>32</v>
      </c>
      <c r="CF1" s="1" t="s">
        <v>33</v>
      </c>
    </row>
    <row r="2" spans="1:84" ht="13.5" thickTop="1" x14ac:dyDescent="0.2">
      <c r="A2" s="2" t="s">
        <v>65</v>
      </c>
      <c r="B2" s="3" t="s">
        <v>66</v>
      </c>
      <c r="C2" s="2" t="s">
        <v>67</v>
      </c>
      <c r="D2" s="2" t="s">
        <v>68</v>
      </c>
      <c r="E2" s="14" t="s">
        <v>121</v>
      </c>
      <c r="F2" s="5" t="s">
        <v>69</v>
      </c>
      <c r="G2" s="6" t="s">
        <v>70</v>
      </c>
      <c r="H2" s="6" t="s">
        <v>71</v>
      </c>
      <c r="I2" s="2" t="s">
        <v>72</v>
      </c>
      <c r="J2" s="7" t="s">
        <v>73</v>
      </c>
      <c r="K2" s="7" t="s">
        <v>74</v>
      </c>
      <c r="L2" s="2" t="s">
        <v>75</v>
      </c>
      <c r="M2" s="8" t="s">
        <v>147</v>
      </c>
      <c r="N2" s="8" t="s">
        <v>76</v>
      </c>
      <c r="O2" s="8" t="s">
        <v>77</v>
      </c>
      <c r="P2" s="8" t="s">
        <v>78</v>
      </c>
      <c r="Q2" s="10" t="s">
        <v>79</v>
      </c>
      <c r="R2" s="10" t="s">
        <v>80</v>
      </c>
      <c r="S2" s="8" t="s">
        <v>81</v>
      </c>
      <c r="T2" s="8" t="s">
        <v>141</v>
      </c>
      <c r="U2" s="8" t="s">
        <v>82</v>
      </c>
      <c r="V2" s="8" t="s">
        <v>83</v>
      </c>
      <c r="W2" s="8" t="s">
        <v>143</v>
      </c>
      <c r="X2" s="8" t="s">
        <v>84</v>
      </c>
      <c r="Y2" s="8" t="s">
        <v>145</v>
      </c>
      <c r="Z2" s="9" t="s">
        <v>85</v>
      </c>
      <c r="AA2" s="11" t="s">
        <v>86</v>
      </c>
      <c r="AB2" s="13" t="s">
        <v>87</v>
      </c>
      <c r="AC2" s="11" t="s">
        <v>88</v>
      </c>
      <c r="AD2" s="13" t="s">
        <v>89</v>
      </c>
      <c r="AE2" s="11" t="s">
        <v>136</v>
      </c>
      <c r="AF2" s="13"/>
      <c r="AG2" s="11" t="s">
        <v>137</v>
      </c>
      <c r="AH2" s="13"/>
      <c r="AI2" s="11" t="s">
        <v>138</v>
      </c>
      <c r="AJ2" s="13"/>
      <c r="AK2" s="11" t="s">
        <v>139</v>
      </c>
      <c r="AL2" s="13"/>
      <c r="AM2" s="8" t="s">
        <v>90</v>
      </c>
      <c r="AN2" s="8" t="s">
        <v>91</v>
      </c>
      <c r="AO2" s="8" t="s">
        <v>92</v>
      </c>
      <c r="AP2" s="8" t="s">
        <v>93</v>
      </c>
      <c r="AQ2" s="8" t="s">
        <v>94</v>
      </c>
      <c r="AR2" s="8" t="s">
        <v>95</v>
      </c>
      <c r="AS2" s="8" t="s">
        <v>96</v>
      </c>
      <c r="AT2" s="8" t="s">
        <v>97</v>
      </c>
      <c r="AU2" s="8" t="s">
        <v>98</v>
      </c>
      <c r="AV2" s="12" t="s">
        <v>99</v>
      </c>
      <c r="AW2" s="8" t="s">
        <v>100</v>
      </c>
      <c r="AX2" s="8" t="s">
        <v>101</v>
      </c>
      <c r="AY2" s="8" t="s">
        <v>102</v>
      </c>
      <c r="AZ2" s="8" t="s">
        <v>103</v>
      </c>
      <c r="BA2" s="8" t="s">
        <v>104</v>
      </c>
      <c r="BB2" s="8" t="s">
        <v>105</v>
      </c>
      <c r="BC2" s="8" t="s">
        <v>106</v>
      </c>
      <c r="BD2" s="8"/>
      <c r="BE2" s="6" t="s">
        <v>107</v>
      </c>
      <c r="BF2" s="6" t="s">
        <v>108</v>
      </c>
      <c r="BG2" s="8" t="s">
        <v>109</v>
      </c>
      <c r="BH2" s="8" t="s">
        <v>110</v>
      </c>
      <c r="BI2" s="8" t="s">
        <v>111</v>
      </c>
      <c r="BJ2" s="7" t="s">
        <v>112</v>
      </c>
      <c r="BK2" s="7" t="s">
        <v>113</v>
      </c>
      <c r="BL2" s="8" t="s">
        <v>114</v>
      </c>
      <c r="BM2" s="8" t="s">
        <v>115</v>
      </c>
      <c r="BN2" s="8" t="s">
        <v>116</v>
      </c>
      <c r="BO2" s="8" t="s">
        <v>117</v>
      </c>
      <c r="BP2" s="12" t="s">
        <v>118</v>
      </c>
      <c r="BQ2" s="12" t="s">
        <v>119</v>
      </c>
      <c r="BR2" s="12"/>
      <c r="BS2" s="12"/>
      <c r="BT2" s="12"/>
      <c r="BU2" s="12"/>
      <c r="BV2" s="8" t="e">
        <f t="shared" ref="BV2:CA2" si="0">100*BG2/N2</f>
        <v>#VALUE!</v>
      </c>
      <c r="BW2" s="8" t="e">
        <f t="shared" si="0"/>
        <v>#VALUE!</v>
      </c>
      <c r="BX2" s="8" t="e">
        <f t="shared" si="0"/>
        <v>#VALUE!</v>
      </c>
      <c r="BY2" s="8" t="e">
        <f t="shared" si="0"/>
        <v>#VALUE!</v>
      </c>
      <c r="BZ2" s="8" t="e">
        <f t="shared" si="0"/>
        <v>#VALUE!</v>
      </c>
      <c r="CA2" s="8" t="e">
        <f t="shared" si="0"/>
        <v>#VALUE!</v>
      </c>
      <c r="CB2" s="8" t="e">
        <f>100*BM2/U2</f>
        <v>#VALUE!</v>
      </c>
      <c r="CC2" s="8" t="e">
        <f>100*BN2/V2</f>
        <v>#VALUE!</v>
      </c>
      <c r="CD2" s="8" t="e">
        <f t="shared" ref="CD2" si="1">100*BO2/X2</f>
        <v>#VALUE!</v>
      </c>
      <c r="CE2" s="8" t="e">
        <f>100*BP2/AB2</f>
        <v>#VALUE!</v>
      </c>
      <c r="CF2" s="8" t="e">
        <f>100*BQ2/AD2</f>
        <v>#VALUE!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__cdsDepStatistics__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2005-07-05T13:07:40Z</dcterms:created>
  <dcterms:modified xsi:type="dcterms:W3CDTF">2022-12-15T19:00:55Z</dcterms:modified>
</cp:coreProperties>
</file>