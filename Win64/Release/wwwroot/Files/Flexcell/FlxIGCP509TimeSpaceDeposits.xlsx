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B84D667C-5C2A-45C8-B662-FCFA86F0CA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imespaceeconomic" sheetId="1" r:id="rId1"/>
    <sheet name="&lt;#Config&gt;" sheetId="2" r:id="rId2"/>
  </sheets>
  <definedNames>
    <definedName name="__cdsTimeSpaceDeposit__">timespaceeconomic!$A$2:$Y$2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2" i="1" l="1"/>
  <c r="W2" i="1"/>
  <c r="V2" i="1"/>
  <c r="U2" i="1"/>
  <c r="Y2" i="1" s="1"/>
  <c r="L2" i="1"/>
  <c r="K2" i="1"/>
</calcChain>
</file>

<file path=xl/sharedStrings.xml><?xml version="1.0" encoding="utf-8"?>
<sst xmlns="http://schemas.openxmlformats.org/spreadsheetml/2006/main" count="58" uniqueCount="58">
  <si>
    <t>X</t>
  </si>
  <si>
    <t>Y</t>
  </si>
  <si>
    <t>ChartID</t>
  </si>
  <si>
    <t>DomainOrder</t>
  </si>
  <si>
    <t>DomainID</t>
  </si>
  <si>
    <t>ChartOffset</t>
  </si>
  <si>
    <t>DomainName</t>
  </si>
  <si>
    <t>DomainXMin</t>
  </si>
  <si>
    <t>DepositID</t>
  </si>
  <si>
    <t>CommodityID</t>
  </si>
  <si>
    <t>DomainXMax</t>
  </si>
  <si>
    <t>ApproxAge</t>
  </si>
  <si>
    <t>ApproxAgeUncertainty</t>
  </si>
  <si>
    <t>DepositName</t>
  </si>
  <si>
    <t>Commodity</t>
  </si>
  <si>
    <t>Depstr</t>
  </si>
  <si>
    <t>Dep</t>
  </si>
  <si>
    <t>MinimumMineralisationAge</t>
  </si>
  <si>
    <t>MaximumMineralisationAge</t>
  </si>
  <si>
    <t>MinimumHostAge</t>
  </si>
  <si>
    <t>MaximumHostAge</t>
  </si>
  <si>
    <t>HostUnitID</t>
  </si>
  <si>
    <t>HostUnitName</t>
  </si>
  <si>
    <t>DepositClan</t>
  </si>
  <si>
    <t>YHost</t>
  </si>
  <si>
    <t>&lt;#cdsTimeSpaceDeposit.CHARTID&gt;</t>
  </si>
  <si>
    <t>&lt;#cdsTimeSpaceDeposit.DOMAINORDER&gt;</t>
  </si>
  <si>
    <t>&lt;#cdsTimeSpaceDeposit.SBDEPOSITID&gt;</t>
  </si>
  <si>
    <t>&lt;#cdsTimeSpaceDeposit.DOMAINID&gt;</t>
  </si>
  <si>
    <t>&lt;#cdsTimeSpaceDeposit.CHARTOFFSET_MM&gt;</t>
  </si>
  <si>
    <t>&lt;#cdsTimeSpaceDeposit.DOMAINNAME&gt;</t>
  </si>
  <si>
    <t>&lt;#cdsTimeSpaceDeposit.DOMAINXMIN&gt;</t>
  </si>
  <si>
    <t>&lt;#cdsTimeSpaceDeposit.DOMAINXMAX&gt;</t>
  </si>
  <si>
    <t>&lt;#cdsTimeSpaceDeposit.APPROXAGE&gt;</t>
  </si>
  <si>
    <t>&lt;#cdsTimeSpaceDeposit.APPROXAGEUNCERTAINTY&gt;</t>
  </si>
  <si>
    <t>&lt;#cdsTimeSpaceDeposit.HOSTMINAGE&gt;</t>
  </si>
  <si>
    <t>&lt;#cdsTimeSpaceDeposit.HOSTMAXAGE&gt;</t>
  </si>
  <si>
    <t>&lt;#cdsTimeSpaceDeposit.DEPOSITNAME&gt;</t>
  </si>
  <si>
    <t>&lt;#cdsTimeSpaceDeposit.DEPOSITCLAN&gt;</t>
  </si>
  <si>
    <t>&lt;#cdsTimeSpaceDeposit.COMMODITYID&gt;</t>
  </si>
  <si>
    <t>&lt;#cdsTimeSpaceDeposit.COMMODITY&gt;</t>
  </si>
  <si>
    <t>&lt;#cdsTimeSpaceDeposit.HOSTUNITID&gt;</t>
  </si>
  <si>
    <t>&lt;#cdsTimeSpaceDeposit.UNITNAME&gt;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</si>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</sst>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"/>
    <numFmt numFmtId="165" formatCode="#,###,##0.000"/>
    <numFmt numFmtId="166" formatCode=";;"/>
  </numFmts>
  <fonts count="7" x14ac:knownFonts="1"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3" fillId="2" borderId="1" xfId="0" applyFont="1" applyFill="1" applyBorder="1" applyAlignment="1">
      <alignment horizontal="center" vertical="top" wrapText="1"/>
    </xf>
    <xf numFmtId="165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top" wrapText="1"/>
    </xf>
    <xf numFmtId="49" fontId="0" fillId="0" borderId="0" xfId="0" applyNumberFormat="1"/>
    <xf numFmtId="166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left"/>
    </xf>
    <xf numFmtId="0" fontId="2" fillId="0" borderId="0" xfId="0" applyNumberFormat="1" applyFont="1"/>
    <xf numFmtId="0" fontId="1" fillId="0" borderId="0" xfId="0" applyNumberFormat="1" applyFont="1"/>
    <xf numFmtId="2" fontId="1" fillId="0" borderId="0" xfId="0" applyNumberFormat="1" applyFont="1" applyAlignment="1">
      <alignment horizontal="right"/>
    </xf>
    <xf numFmtId="1" fontId="1" fillId="0" borderId="0" xfId="0" applyNumberFormat="1" applyFont="1" applyAlignment="1"/>
    <xf numFmtId="166" fontId="1" fillId="0" borderId="0" xfId="0" applyNumberFormat="1" applyFont="1" applyAlignment="1"/>
    <xf numFmtId="0" fontId="4" fillId="0" borderId="0" xfId="0" applyFont="1"/>
    <xf numFmtId="0" fontId="6" fillId="3" borderId="0" xfId="0" applyFont="1" applyFill="1"/>
    <xf numFmtId="0" fontId="4" fillId="4" borderId="0" xfId="0" applyFont="1" applyFill="1"/>
    <xf numFmtId="0" fontId="5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zoomScale="75" workbookViewId="0"/>
  </sheetViews>
  <sheetFormatPr defaultColWidth="9.140625" defaultRowHeight="12.75" x14ac:dyDescent="0.2"/>
  <cols>
    <col min="1" max="1" width="8.85546875" customWidth="1"/>
    <col min="2" max="2" width="8.5703125" customWidth="1"/>
    <col min="3" max="3" width="11.85546875" customWidth="1"/>
    <col min="4" max="4" width="11.42578125" customWidth="1"/>
    <col min="5" max="5" width="14" customWidth="1"/>
    <col min="6" max="6" width="23.140625" customWidth="1"/>
    <col min="7" max="10" width="15" customWidth="1"/>
    <col min="11" max="11" width="10.28515625" customWidth="1"/>
    <col min="12" max="14" width="10.85546875" customWidth="1"/>
    <col min="15" max="16" width="29.42578125" customWidth="1"/>
    <col min="17" max="20" width="15" customWidth="1"/>
    <col min="21" max="21" width="12.85546875" customWidth="1"/>
    <col min="23" max="23" width="10.42578125" bestFit="1" customWidth="1"/>
    <col min="24" max="24" width="10.42578125" customWidth="1"/>
    <col min="25" max="25" width="9.140625" style="6" customWidth="1"/>
  </cols>
  <sheetData>
    <row r="1" spans="1:25" ht="36" customHeight="1" thickBot="1" x14ac:dyDescent="0.25">
      <c r="A1" s="3" t="s">
        <v>2</v>
      </c>
      <c r="B1" s="3" t="s">
        <v>3</v>
      </c>
      <c r="C1" s="3" t="s">
        <v>8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10</v>
      </c>
      <c r="I1" s="3" t="s">
        <v>11</v>
      </c>
      <c r="J1" s="3" t="s">
        <v>12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13</v>
      </c>
      <c r="P1" s="3" t="s">
        <v>23</v>
      </c>
      <c r="Q1" s="3" t="s">
        <v>9</v>
      </c>
      <c r="R1" s="3" t="s">
        <v>14</v>
      </c>
      <c r="S1" s="3" t="s">
        <v>21</v>
      </c>
      <c r="T1" s="3" t="s">
        <v>22</v>
      </c>
      <c r="U1" s="3" t="s">
        <v>16</v>
      </c>
      <c r="V1" s="3" t="s">
        <v>0</v>
      </c>
      <c r="W1" s="3" t="s">
        <v>1</v>
      </c>
      <c r="X1" s="3" t="s">
        <v>24</v>
      </c>
      <c r="Y1" s="5" t="s">
        <v>15</v>
      </c>
    </row>
    <row r="2" spans="1:25" ht="13.5" customHeight="1" thickTop="1" x14ac:dyDescent="0.2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8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2" t="e">
        <f>I2-J2</f>
        <v>#VALUE!</v>
      </c>
      <c r="L2" s="2" t="e">
        <f>I2+J2</f>
        <v>#VALUE!</v>
      </c>
      <c r="M2" s="11" t="s">
        <v>35</v>
      </c>
      <c r="N2" s="11" t="s">
        <v>36</v>
      </c>
      <c r="O2" s="8" t="s">
        <v>37</v>
      </c>
      <c r="P2" s="13" t="s">
        <v>38</v>
      </c>
      <c r="Q2" s="8" t="s">
        <v>39</v>
      </c>
      <c r="R2" s="7" t="s">
        <v>40</v>
      </c>
      <c r="S2" s="12" t="s">
        <v>41</v>
      </c>
      <c r="T2" s="8" t="s">
        <v>42</v>
      </c>
      <c r="U2" s="10" t="e">
        <f>SIGN(C2)*(ABS(C2*100)+D2*10000000000+#REF!)</f>
        <v>#VALUE!</v>
      </c>
      <c r="V2" s="9" t="e">
        <f>H2-8+#REF!*2</f>
        <v>#VALUE!</v>
      </c>
      <c r="W2" s="4" t="e">
        <f>I2*-1</f>
        <v>#VALUE!</v>
      </c>
      <c r="X2" s="4" t="e">
        <f>-1*M2</f>
        <v>#VALUE!</v>
      </c>
      <c r="Y2" s="9" t="e">
        <f>CONCATENATE("Dep",U2)</f>
        <v>#VALUE!</v>
      </c>
    </row>
  </sheetData>
  <pageMargins left="0.75" right="0.75" top="1" bottom="1" header="0.5" footer="0.5"/>
  <pageSetup orientation="portrait" verticalDpi="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14" customWidth="1"/>
    <col min="2" max="2" width="18.7109375" style="14" customWidth="1"/>
    <col min="3" max="3" width="32.7109375" style="14" customWidth="1"/>
    <col min="4" max="4" width="24.7109375" style="14" customWidth="1"/>
    <col min="5" max="7" width="1.7109375" style="14" customWidth="1"/>
    <col min="8" max="8" width="14.7109375" style="14" customWidth="1"/>
    <col min="9" max="9" width="11.7109375" style="14" customWidth="1"/>
    <col min="10" max="12" width="1.7109375" style="14" customWidth="1"/>
    <col min="13" max="13" width="14.7109375" style="14" customWidth="1"/>
    <col min="14" max="14" width="20.7109375" style="14" customWidth="1"/>
  </cols>
  <sheetData>
    <row r="1" spans="1:14" s="15" customFormat="1" ht="18" x14ac:dyDescent="0.25">
      <c r="A1" s="15" t="s">
        <v>43</v>
      </c>
    </row>
    <row r="3" spans="1:14" x14ac:dyDescent="0.25">
      <c r="A3" s="16" t="s">
        <v>44</v>
      </c>
    </row>
    <row r="4" spans="1:14" x14ac:dyDescent="0.25">
      <c r="A4" s="16" t="s">
        <v>45</v>
      </c>
    </row>
    <row r="5" spans="1:14" x14ac:dyDescent="0.25">
      <c r="A5" s="16" t="s">
        <v>46</v>
      </c>
    </row>
    <row r="8" spans="1:14" x14ac:dyDescent="0.25">
      <c r="A8" s="16" t="s">
        <v>47</v>
      </c>
      <c r="B8" s="16"/>
      <c r="C8" s="16"/>
      <c r="D8" s="16"/>
      <c r="H8" s="16" t="s">
        <v>48</v>
      </c>
      <c r="I8" s="16"/>
      <c r="M8" s="16" t="s">
        <v>49</v>
      </c>
      <c r="N8" s="16"/>
    </row>
    <row r="9" spans="1:14" ht="30" x14ac:dyDescent="0.25">
      <c r="A9" s="17" t="s">
        <v>50</v>
      </c>
      <c r="B9" s="17" t="s">
        <v>51</v>
      </c>
      <c r="C9" s="17" t="s">
        <v>52</v>
      </c>
      <c r="D9" s="17" t="s">
        <v>53</v>
      </c>
      <c r="H9" s="17" t="s">
        <v>54</v>
      </c>
      <c r="I9" s="17" t="s">
        <v>55</v>
      </c>
      <c r="M9" s="17" t="s">
        <v>56</v>
      </c>
      <c r="N9" s="17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timespaceeconomic</vt:lpstr>
      <vt:lpstr>&lt;#Config&gt;</vt:lpstr>
      <vt:lpstr>__cdsTimeSpaceDeposit__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bre255</cp:lastModifiedBy>
  <dcterms:created xsi:type="dcterms:W3CDTF">2020-03-19T23:08:04Z</dcterms:created>
  <dcterms:modified xsi:type="dcterms:W3CDTF">2020-09-15T21:47:53Z</dcterms:modified>
</cp:coreProperties>
</file>