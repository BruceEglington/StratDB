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35875652-1C5A-4CA6-9073-91CF1503DAD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mapunits" sheetId="1" r:id="rId1"/>
    <sheet name="&lt;#Config&gt;" sheetId="2" r:id="rId2"/>
  </sheets>
  <definedNames>
    <definedName name="__cdsChartMapUnits__">mapunits!$A$2:$AM$2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2" i="1" l="1"/>
  <c r="AJ2" i="1"/>
  <c r="AM2" i="1" s="1"/>
  <c r="AI2" i="1"/>
  <c r="AH2" i="1"/>
  <c r="AC2" i="1"/>
  <c r="AE2" i="1" s="1"/>
  <c r="AB2" i="1"/>
  <c r="AD2" i="1" s="1"/>
  <c r="Z2" i="1"/>
  <c r="AF2" i="1" s="1"/>
  <c r="AL2" i="1" l="1"/>
</calcChain>
</file>

<file path=xl/sharedStrings.xml><?xml version="1.0" encoding="utf-8"?>
<sst xmlns="http://schemas.openxmlformats.org/spreadsheetml/2006/main" count="80" uniqueCount="80">
  <si>
    <t>ChartID</t>
  </si>
  <si>
    <t>UnitID</t>
  </si>
  <si>
    <t>MinimumAge</t>
  </si>
  <si>
    <t>MaximumAge</t>
  </si>
  <si>
    <t>RankWidth</t>
  </si>
  <si>
    <t>AgeYears</t>
  </si>
  <si>
    <t>UnitName</t>
  </si>
  <si>
    <t>UnitRank</t>
  </si>
  <si>
    <t>RockClass</t>
  </si>
  <si>
    <t>TectonicSetting</t>
  </si>
  <si>
    <t>SettingID</t>
  </si>
  <si>
    <t>SettingRockClass</t>
  </si>
  <si>
    <t>AgeConstraintLevelID</t>
  </si>
  <si>
    <t>AgeConstraintLevel</t>
  </si>
  <si>
    <t>SettingRockClassConstraint</t>
  </si>
  <si>
    <t>SettingIDShort</t>
  </si>
  <si>
    <t>SettingRockClassShort</t>
  </si>
  <si>
    <t>SettingRockClassConstraintShort</t>
  </si>
  <si>
    <t>SedEnvironment</t>
  </si>
  <si>
    <t>MapID</t>
  </si>
  <si>
    <t>MapName</t>
  </si>
  <si>
    <t>IncludeForMap</t>
  </si>
  <si>
    <t>GISInt</t>
  </si>
  <si>
    <t>GISStr</t>
  </si>
  <si>
    <t>MinAgeNeg</t>
  </si>
  <si>
    <t>MaxAgeNeg</t>
  </si>
  <si>
    <t>CountryID</t>
  </si>
  <si>
    <t>ParentID</t>
  </si>
  <si>
    <t>IncUser</t>
  </si>
  <si>
    <t>Y</t>
  </si>
  <si>
    <t>RcEnvStr</t>
  </si>
  <si>
    <t>MinAge</t>
  </si>
  <si>
    <t>MaxAge</t>
  </si>
  <si>
    <t>AgeRange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</si>
  <si>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</si>
  <si>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</si>
  <si>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</si>
  <si>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</si>
  <si>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</si>
  <si>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</si>
  <si>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</si>
  <si>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</si>
  <si>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</si>
  <si>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</si>
  <si>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</si>
  <si>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</si>
  <si>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</si>
  <si>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</si>
  <si>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</si>
  <si>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&lt;#cdsChartMapUnits.CHARTID&gt;</t>
  </si>
  <si>
    <t>&lt;#cdsChartMapUnits.MAPID2&gt;</t>
  </si>
  <si>
    <t>&lt;#cdsChartMapUnits.MAPNAME&gt;</t>
  </si>
  <si>
    <t>&lt;#cdsChartMapUnits.COUNTRYID&gt;</t>
  </si>
  <si>
    <t>&lt;#cdsChartMapUnits.UNITID&gt;</t>
  </si>
  <si>
    <t>&lt;#cdsChartMapUnits.PARENTID&gt;</t>
  </si>
  <si>
    <t>&lt;#cdsChartMapUnits.MINAGE&gt;</t>
  </si>
  <si>
    <t>&lt;#cdsChartMapUnits.MAXAGE&gt;</t>
  </si>
  <si>
    <t>&lt;#cdsChartMapUnits.AGEYEARS&gt;</t>
  </si>
  <si>
    <t>&lt;#cdsChartMapUnits.UNITNAME&gt;</t>
  </si>
  <si>
    <t>&lt;#cdsChartMapUnits.UNITRANK&gt;</t>
  </si>
  <si>
    <t>&lt;#cdsChartMapUnits.RANKWIDTH&gt;</t>
  </si>
  <si>
    <t>&lt;#cdsChartMapUnits.INCL4MAP&gt;</t>
  </si>
  <si>
    <t>&lt;#cdsChartMapUnits.GISINT&gt;</t>
  </si>
  <si>
    <t>&lt;#cdsChartMapUnits.GISSTR&gt;</t>
  </si>
  <si>
    <t>&lt;#cdsChartMapUnits.ROCKCLASS&gt;</t>
  </si>
  <si>
    <t>&lt;#cdsChartMapUnits.SETTING&gt;</t>
  </si>
  <si>
    <t>&lt;#cdsChartMapUnits.ROCKCLASSID&gt;</t>
  </si>
  <si>
    <t>&lt;#cdsChartMapUnits.ROCKCLASSID2&gt;</t>
  </si>
  <si>
    <t>&lt;#cdsChartMapUnits.ROCKCLASSFUNDAMENTAL&gt;</t>
  </si>
  <si>
    <t>&lt;#cdsChartMapUnits.SETTINGID&gt;</t>
  </si>
  <si>
    <t>&lt;#cdsChartMapUnits.SETTINGIDCOMBINED&gt;</t>
  </si>
  <si>
    <t>&lt;#cdsChartMapUnits.CONSTRAINTLEVELID&gt;</t>
  </si>
  <si>
    <t>&lt;#cdsChartMapUnits.AGECONSTRAINTLEVEL&gt;</t>
  </si>
  <si>
    <t>&lt;#cdsChartMapUnits.DEPOSITIONENVIRONMENTID&gt;</t>
  </si>
  <si>
    <t>&lt;#cdsChartMapUnits.DEPOSITIONENVIRONMENT&gt;</t>
  </si>
  <si>
    <t>RkClsID</t>
  </si>
  <si>
    <t>RkClsIDSht</t>
  </si>
  <si>
    <t>RkClsFnd</t>
  </si>
  <si>
    <t>SedEnvID</t>
  </si>
  <si>
    <t>SedEnvIDstr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</si>
</sst>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#,##0"/>
    <numFmt numFmtId="165" formatCode="#,###,##0.000"/>
    <numFmt numFmtId="166" formatCode=";;"/>
    <numFmt numFmtId="167" formatCode="0.000"/>
  </numFmts>
  <fonts count="7" x14ac:knownFonts="1"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166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4" fillId="0" borderId="0" xfId="0" applyFont="1"/>
    <xf numFmtId="0" fontId="6" fillId="3" borderId="0" xfId="0" applyFont="1" applyFill="1"/>
    <xf numFmtId="0" fontId="4" fillId="4" borderId="0" xfId="0" applyFont="1" applyFill="1"/>
    <xf numFmtId="0" fontId="5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zoomScale="75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8.85546875" customWidth="1"/>
    <col min="2" max="2" width="8.5703125" customWidth="1"/>
    <col min="3" max="4" width="11.42578125" customWidth="1"/>
    <col min="5" max="5" width="10.5703125" customWidth="1"/>
    <col min="6" max="6" width="11.28515625" customWidth="1"/>
    <col min="7" max="7" width="10.28515625" customWidth="1"/>
    <col min="8" max="8" width="10.85546875" customWidth="1"/>
    <col min="9" max="9" width="15.42578125" customWidth="1"/>
    <col min="10" max="10" width="29.42578125" customWidth="1"/>
    <col min="11" max="11" width="15" customWidth="1"/>
    <col min="12" max="12" width="12.140625" customWidth="1"/>
    <col min="13" max="15" width="15" customWidth="1"/>
    <col min="16" max="16" width="25.5703125" customWidth="1"/>
    <col min="17" max="17" width="29.85546875" customWidth="1"/>
    <col min="18" max="27" width="10.85546875" customWidth="1"/>
    <col min="28" max="33" width="10.42578125" customWidth="1"/>
    <col min="34" max="34" width="11.140625" bestFit="1" customWidth="1"/>
    <col min="35" max="38" width="11.140625" customWidth="1"/>
    <col min="39" max="39" width="9.28515625" bestFit="1" customWidth="1"/>
  </cols>
  <sheetData>
    <row r="1" spans="1:39" ht="36" customHeight="1" thickBot="1" x14ac:dyDescent="0.25">
      <c r="A1" s="1" t="s">
        <v>0</v>
      </c>
      <c r="B1" s="1" t="s">
        <v>19</v>
      </c>
      <c r="C1" s="1" t="s">
        <v>20</v>
      </c>
      <c r="D1" s="1" t="s">
        <v>26</v>
      </c>
      <c r="E1" s="1" t="s">
        <v>1</v>
      </c>
      <c r="F1" s="1" t="s">
        <v>27</v>
      </c>
      <c r="G1" s="1" t="s">
        <v>31</v>
      </c>
      <c r="H1" s="1" t="s">
        <v>32</v>
      </c>
      <c r="I1" s="1" t="s">
        <v>5</v>
      </c>
      <c r="J1" s="1" t="s">
        <v>6</v>
      </c>
      <c r="K1" s="1" t="s">
        <v>7</v>
      </c>
      <c r="L1" s="1" t="s">
        <v>4</v>
      </c>
      <c r="M1" s="1" t="s">
        <v>21</v>
      </c>
      <c r="N1" s="1" t="s">
        <v>22</v>
      </c>
      <c r="O1" s="1" t="s">
        <v>23</v>
      </c>
      <c r="P1" s="1" t="s">
        <v>8</v>
      </c>
      <c r="Q1" s="1" t="s">
        <v>9</v>
      </c>
      <c r="R1" s="1" t="s">
        <v>75</v>
      </c>
      <c r="S1" s="1" t="s">
        <v>76</v>
      </c>
      <c r="T1" s="1" t="s">
        <v>77</v>
      </c>
      <c r="U1" s="1" t="s">
        <v>10</v>
      </c>
      <c r="V1" s="1" t="s">
        <v>15</v>
      </c>
      <c r="W1" s="1" t="s">
        <v>12</v>
      </c>
      <c r="X1" s="1" t="s">
        <v>13</v>
      </c>
      <c r="Y1" s="1" t="s">
        <v>78</v>
      </c>
      <c r="Z1" s="1" t="s">
        <v>79</v>
      </c>
      <c r="AA1" s="1" t="s">
        <v>18</v>
      </c>
      <c r="AB1" s="1" t="s">
        <v>11</v>
      </c>
      <c r="AC1" s="1" t="s">
        <v>16</v>
      </c>
      <c r="AD1" s="1" t="s">
        <v>14</v>
      </c>
      <c r="AE1" s="1" t="s">
        <v>17</v>
      </c>
      <c r="AF1" s="1" t="s">
        <v>30</v>
      </c>
      <c r="AG1" s="1" t="s">
        <v>28</v>
      </c>
      <c r="AH1" s="1" t="s">
        <v>24</v>
      </c>
      <c r="AI1" s="1" t="s">
        <v>25</v>
      </c>
      <c r="AJ1" s="1" t="s">
        <v>33</v>
      </c>
      <c r="AK1" s="1">
        <v>10</v>
      </c>
      <c r="AL1" s="1" t="s">
        <v>2</v>
      </c>
      <c r="AM1" s="1" t="s">
        <v>3</v>
      </c>
    </row>
    <row r="2" spans="1:39" ht="13.5" customHeight="1" thickTop="1" x14ac:dyDescent="0.2">
      <c r="A2" s="10" t="s">
        <v>49</v>
      </c>
      <c r="B2" s="10" t="s">
        <v>50</v>
      </c>
      <c r="C2" s="5" t="s">
        <v>51</v>
      </c>
      <c r="D2" s="3" t="s">
        <v>52</v>
      </c>
      <c r="E2" s="9" t="s">
        <v>53</v>
      </c>
      <c r="F2" s="9" t="s">
        <v>54</v>
      </c>
      <c r="G2" s="11" t="s">
        <v>55</v>
      </c>
      <c r="H2" s="11" t="s">
        <v>56</v>
      </c>
      <c r="I2" s="8" t="s">
        <v>57</v>
      </c>
      <c r="J2" s="4" t="s">
        <v>58</v>
      </c>
      <c r="K2" s="4" t="s">
        <v>59</v>
      </c>
      <c r="L2" s="3" t="s">
        <v>60</v>
      </c>
      <c r="M2" s="2" t="s">
        <v>61</v>
      </c>
      <c r="N2" s="7" t="s">
        <v>62</v>
      </c>
      <c r="O2" s="2" t="s">
        <v>63</v>
      </c>
      <c r="P2" s="4" t="s">
        <v>64</v>
      </c>
      <c r="Q2" s="4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7" t="s">
        <v>71</v>
      </c>
      <c r="X2" s="4" t="s">
        <v>72</v>
      </c>
      <c r="Y2" s="2" t="s">
        <v>73</v>
      </c>
      <c r="Z2" s="4" t="str">
        <f>CONCATENATE("SedEnv",Y2)</f>
        <v>SedEnv&lt;#cdsChartMapUnits.DEPOSITIONENVIRONMENTID&gt;</v>
      </c>
      <c r="AA2" s="4" t="s">
        <v>74</v>
      </c>
      <c r="AB2" s="6" t="str">
        <f>CONCATENATE(U2,R2)</f>
        <v>&lt;#cdsChartMapUnits.SETTINGID&gt;&lt;#cdsChartMapUnits.ROCKCLASSID&gt;</v>
      </c>
      <c r="AC2" s="6" t="str">
        <f>CONCATENATE(V2,S2)</f>
        <v>&lt;#cdsChartMapUnits.SETTINGIDCOMBINED&gt;&lt;#cdsChartMapUnits.ROCKCLASSID2&gt;</v>
      </c>
      <c r="AD2" s="6" t="str">
        <f>CONCATENATE(AB2,W2)</f>
        <v>&lt;#cdsChartMapUnits.SETTINGID&gt;&lt;#cdsChartMapUnits.ROCKCLASSID&gt;&lt;#cdsChartMapUnits.CONSTRAINTLEVELID&gt;</v>
      </c>
      <c r="AE2" s="6" t="str">
        <f>CONCATENATE(AC2,W2)</f>
        <v>&lt;#cdsChartMapUnits.SETTINGIDCOMBINED&gt;&lt;#cdsChartMapUnits.ROCKCLASSID2&gt;&lt;#cdsChartMapUnits.CONSTRAINTLEVELID&gt;</v>
      </c>
      <c r="AF2" s="6" t="str">
        <f>IF(T2="P","P",IF(T2="V","V",IF(T2="H","H",Z2)))</f>
        <v>SedEnv&lt;#cdsChartMapUnits.DEPOSITIONENVIRONMENTID&gt;</v>
      </c>
      <c r="AG2" s="6" t="s">
        <v>29</v>
      </c>
      <c r="AH2" s="12" t="e">
        <f>-1*G2</f>
        <v>#VALUE!</v>
      </c>
      <c r="AI2" s="12" t="e">
        <f>-1*G2</f>
        <v>#VALUE!</v>
      </c>
      <c r="AJ2" s="13" t="e">
        <f>H2-G2</f>
        <v>#VALUE!</v>
      </c>
      <c r="AK2" s="13">
        <f>AK$1</f>
        <v>10</v>
      </c>
      <c r="AL2" s="12" t="e">
        <f>IF($AJ2&lt;$AK$1,G2-0.5*($AK$1-$AJ2),G2)</f>
        <v>#VALUE!</v>
      </c>
      <c r="AM2" s="12" t="e">
        <f>IF($AJ2&lt;$AK$1,H2+0.5*($AK$1-$AJ2),H2)</f>
        <v>#VALUE!</v>
      </c>
    </row>
  </sheetData>
  <pageMargins left="0.75" right="0.75" top="1" bottom="1" header="0.5" footer="0.5"/>
  <pageSetup orientation="portrait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14" customWidth="1"/>
    <col min="2" max="2" width="18.7109375" style="14" customWidth="1"/>
    <col min="3" max="3" width="32.7109375" style="14" customWidth="1"/>
    <col min="4" max="4" width="24.7109375" style="14" customWidth="1"/>
    <col min="5" max="7" width="1.7109375" style="14" customWidth="1"/>
    <col min="8" max="8" width="14.7109375" style="14" customWidth="1"/>
    <col min="9" max="9" width="11.7109375" style="14" customWidth="1"/>
    <col min="10" max="12" width="1.7109375" style="14" customWidth="1"/>
    <col min="13" max="13" width="14.7109375" style="14" customWidth="1"/>
    <col min="14" max="14" width="20.7109375" style="14" customWidth="1"/>
  </cols>
  <sheetData>
    <row r="1" spans="1:14" s="15" customFormat="1" ht="18" x14ac:dyDescent="0.25">
      <c r="A1" s="15" t="s">
        <v>34</v>
      </c>
    </row>
    <row r="3" spans="1:14" x14ac:dyDescent="0.25">
      <c r="A3" s="16" t="s">
        <v>35</v>
      </c>
    </row>
    <row r="4" spans="1:14" x14ac:dyDescent="0.25">
      <c r="A4" s="16" t="s">
        <v>36</v>
      </c>
    </row>
    <row r="5" spans="1:14" x14ac:dyDescent="0.25">
      <c r="A5" s="16" t="s">
        <v>37</v>
      </c>
    </row>
    <row r="8" spans="1:14" x14ac:dyDescent="0.25">
      <c r="A8" s="16" t="s">
        <v>38</v>
      </c>
      <c r="B8" s="16"/>
      <c r="C8" s="16"/>
      <c r="D8" s="16"/>
      <c r="H8" s="16" t="s">
        <v>39</v>
      </c>
      <c r="I8" s="16"/>
      <c r="M8" s="16" t="s">
        <v>40</v>
      </c>
      <c r="N8" s="16"/>
    </row>
    <row r="9" spans="1:14" ht="30" x14ac:dyDescent="0.25">
      <c r="A9" s="17" t="s">
        <v>41</v>
      </c>
      <c r="B9" s="17" t="s">
        <v>42</v>
      </c>
      <c r="C9" s="17" t="s">
        <v>43</v>
      </c>
      <c r="D9" s="17" t="s">
        <v>44</v>
      </c>
      <c r="H9" s="17" t="s">
        <v>45</v>
      </c>
      <c r="I9" s="17" t="s">
        <v>46</v>
      </c>
      <c r="M9" s="17" t="s">
        <v>47</v>
      </c>
      <c r="N9" s="17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mapunits</vt:lpstr>
      <vt:lpstr>&lt;#Config&gt;</vt:lpstr>
      <vt:lpstr>__cdsChartMapUnits__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Eglington, Bruce</dc:creator>
  <cp:lastModifiedBy>bre255</cp:lastModifiedBy>
  <dcterms:created xsi:type="dcterms:W3CDTF">2020-03-19T23:08:04Z</dcterms:created>
  <dcterms:modified xsi:type="dcterms:W3CDTF">2021-02-20T23:47:24Z</dcterms:modified>
</cp:coreProperties>
</file>