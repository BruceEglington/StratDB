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C0F5C705-4B1D-4BA7-BCB9-DC7BD24E1B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lip" sheetId="1" r:id="rId1"/>
    <sheet name="&lt;#Config&gt;" sheetId="2" r:id="rId2"/>
  </sheets>
  <definedNames>
    <definedName name="__cdsTimeSpaceLIP__">timespacelip!$A$2:$AL$7</definedName>
    <definedName name="_xlnm.Print_Area" localSheetId="0">timespacelip!$A$1:$AL$7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7" i="1" l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AH7" i="1" s="1"/>
  <c r="L7" i="1"/>
  <c r="K7" i="1"/>
  <c r="J7" i="1"/>
  <c r="AE7" i="1" s="1"/>
  <c r="I7" i="1"/>
  <c r="H7" i="1"/>
  <c r="G7" i="1"/>
  <c r="F7" i="1"/>
  <c r="E7" i="1"/>
  <c r="C7" i="1"/>
  <c r="B7" i="1"/>
  <c r="A7" i="1"/>
  <c r="AH6" i="1"/>
  <c r="AD6" i="1"/>
  <c r="AC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K6" i="1"/>
  <c r="J6" i="1"/>
  <c r="AE6" i="1" s="1"/>
  <c r="I6" i="1"/>
  <c r="H6" i="1"/>
  <c r="G6" i="1"/>
  <c r="F6" i="1"/>
  <c r="E6" i="1"/>
  <c r="C6" i="1"/>
  <c r="B6" i="1"/>
  <c r="A6" i="1"/>
  <c r="AF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AH5" i="1" s="1"/>
  <c r="L5" i="1"/>
  <c r="K5" i="1"/>
  <c r="AE5" i="1" s="1"/>
  <c r="J5" i="1"/>
  <c r="I5" i="1"/>
  <c r="H5" i="1"/>
  <c r="G5" i="1"/>
  <c r="F5" i="1"/>
  <c r="E5" i="1"/>
  <c r="C5" i="1"/>
  <c r="B5" i="1"/>
  <c r="A5" i="1"/>
  <c r="AH4" i="1"/>
  <c r="AD4" i="1"/>
  <c r="AC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K4" i="1"/>
  <c r="AE4" i="1" s="1"/>
  <c r="J4" i="1"/>
  <c r="I4" i="1"/>
  <c r="H4" i="1"/>
  <c r="G4" i="1"/>
  <c r="F4" i="1"/>
  <c r="E4" i="1"/>
  <c r="C4" i="1"/>
  <c r="B4" i="1"/>
  <c r="A4" i="1"/>
  <c r="AF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AH3" i="1" s="1"/>
  <c r="L3" i="1"/>
  <c r="K3" i="1"/>
  <c r="J3" i="1"/>
  <c r="AE3" i="1" s="1"/>
  <c r="I3" i="1"/>
  <c r="H3" i="1"/>
  <c r="G3" i="1"/>
  <c r="F3" i="1"/>
  <c r="E3" i="1"/>
  <c r="C3" i="1"/>
  <c r="B3" i="1"/>
  <c r="A3" i="1"/>
  <c r="AL2" i="1"/>
  <c r="AK2" i="1"/>
  <c r="AH2" i="1"/>
  <c r="AG2" i="1"/>
  <c r="AG6" i="1" s="1"/>
  <c r="AF2" i="1"/>
  <c r="AF6" i="1" s="1"/>
  <c r="AE2" i="1"/>
  <c r="AD2" i="1"/>
  <c r="AJ2" i="1" s="1"/>
  <c r="AC2" i="1"/>
  <c r="AB2" i="1"/>
  <c r="AB6" i="1" s="1"/>
  <c r="L2" i="1"/>
  <c r="L6" i="1" s="1"/>
  <c r="AG7" i="1" l="1"/>
  <c r="AI2" i="1"/>
  <c r="AD3" i="1"/>
  <c r="L4" i="1"/>
  <c r="AB4" i="1"/>
  <c r="AF4" i="1"/>
  <c r="AD5" i="1"/>
  <c r="AD7" i="1"/>
  <c r="AG3" i="1"/>
  <c r="AG5" i="1"/>
  <c r="AG4" i="1"/>
  <c r="AI7" i="1" l="1"/>
  <c r="AI5" i="1"/>
  <c r="AI3" i="1"/>
  <c r="AI4" i="1"/>
  <c r="AI6" i="1"/>
</calcChain>
</file>

<file path=xl/sharedStrings.xml><?xml version="1.0" encoding="utf-8"?>
<sst xmlns="http://schemas.openxmlformats.org/spreadsheetml/2006/main" count="77" uniqueCount="77">
  <si>
    <t>X</t>
  </si>
  <si>
    <t>Y</t>
  </si>
  <si>
    <t>i</t>
  </si>
  <si>
    <t>ChartID</t>
  </si>
  <si>
    <t>DomainOrder</t>
  </si>
  <si>
    <t>PointID</t>
  </si>
  <si>
    <t>DomainID</t>
  </si>
  <si>
    <t>ChartOffset</t>
  </si>
  <si>
    <t>MinimumAge</t>
  </si>
  <si>
    <t>MaximumAge</t>
  </si>
  <si>
    <t>DomainName</t>
  </si>
  <si>
    <t>Z</t>
  </si>
  <si>
    <t>IncludeForChart</t>
  </si>
  <si>
    <t>DomainXMin</t>
  </si>
  <si>
    <t>AgeConstraintLevelID</t>
  </si>
  <si>
    <t>AgeConstraintLevel</t>
  </si>
  <si>
    <t>XN</t>
  </si>
  <si>
    <t>YN</t>
  </si>
  <si>
    <t>LIPID</t>
  </si>
  <si>
    <t>LIPName</t>
  </si>
  <si>
    <t>LIP</t>
  </si>
  <si>
    <t>LIPstr</t>
  </si>
  <si>
    <t>BarcodeAge</t>
  </si>
  <si>
    <t>LIPOffset</t>
  </si>
  <si>
    <t>BarcodeWidth</t>
  </si>
  <si>
    <t>LIPBarcodeX</t>
  </si>
  <si>
    <t>LIPBarcodeY</t>
  </si>
  <si>
    <t>LIPHstr</t>
  </si>
  <si>
    <t>LIPHeading</t>
  </si>
  <si>
    <t>LIPParentID</t>
  </si>
  <si>
    <t>PlotBarcode</t>
  </si>
  <si>
    <t>CompositionID</t>
  </si>
  <si>
    <t>DominantComposition</t>
  </si>
  <si>
    <t>SizeID</t>
  </si>
  <si>
    <t>Size</t>
  </si>
  <si>
    <t>RatingID</t>
  </si>
  <si>
    <t>Rating</t>
  </si>
  <si>
    <t>AgeRange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</si>
  <si>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</si>
  <si>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</si>
  <si>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</si>
  <si>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</si>
  <si>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</si>
  <si>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</si>
  <si>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</si>
  <si>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</si>
  <si>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</si>
  <si>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</si>
  <si>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</si>
  <si>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</si>
  <si>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</si>
  <si>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</si>
  <si>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</si>
  <si>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&lt;#cdsTimeSpaceLIP.CHARTID&gt;</t>
  </si>
  <si>
    <t>&lt;#cdsTimeSpaceLIP.DOMAINORDER&gt;</t>
  </si>
  <si>
    <t>&lt;#cdsTimeSpaceLIP.LIPID&gt;</t>
  </si>
  <si>
    <t>&lt;#cdsTimeSpaceLIP.POINTID&gt;</t>
  </si>
  <si>
    <t>&lt;#cdsTimeSpaceLIP.DOMAINID&gt;</t>
  </si>
  <si>
    <t>&lt;#cdsTimeSpaceLIP.DOMAINNAME&gt;</t>
  </si>
  <si>
    <t>&lt;#cdsTimeSpaceLIP.DOMAINXMIN&gt;</t>
  </si>
  <si>
    <t>&lt;#cdsTimeSpaceLIP.CHARTOFFSET_MM&gt;</t>
  </si>
  <si>
    <t>&lt;#cdsTimeSpaceLIP.MINPLOTAGE&gt;</t>
  </si>
  <si>
    <t>&lt;#cdsTimeSpaceLIP.MAXPLOTAGE&gt;</t>
  </si>
  <si>
    <t>&lt;#cdsTimeSpaceLIP.BARCODEAGE&gt;</t>
  </si>
  <si>
    <t>&lt;#cdsTimeSpaceLIP.PLOTBARCODE&gt;</t>
  </si>
  <si>
    <t>&lt;#cdsTimeSpaceLIP.LIPNAME&gt;</t>
  </si>
  <si>
    <t>&lt;#cdsTimeSpaceLIP.LIPHEADING&gt;</t>
  </si>
  <si>
    <t>&lt;#cdsTimeSpaceLIP.INC4CHTYN&gt;</t>
  </si>
  <si>
    <t>&lt;#cdsTimeSpaceLIP.LIPPARENTID&gt;</t>
  </si>
  <si>
    <t>&lt;#cdsTimeSpaceLIP.CONSTRAINTLEVELID&gt;</t>
  </si>
  <si>
    <t>&lt;#cdsTimeSpaceLIP.AGECONSTRAINTLEVEL&gt;</t>
  </si>
  <si>
    <t>&lt;#cdsTimeSpaceLIP.COMPOSITIONID&gt;</t>
  </si>
  <si>
    <t>&lt;#cdsTimeSpaceLIP.DOMINANTCOMPOSITION&gt;</t>
  </si>
  <si>
    <t>&lt;#cdsTimeSpaceLIP.LIPSIZEID&gt;</t>
  </si>
  <si>
    <t>&lt;#cdsTimeSpaceLIP.LIPSIZEDESCRIPTION&gt;</t>
  </si>
  <si>
    <t>&lt;#cdsTimeSpaceLIP.LIPRATINGID&gt;</t>
  </si>
  <si>
    <t>&lt;#cdsTimeSpaceLIP.LIPRATINGDESCRIPTION&gt;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</si>
</sst>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;;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3" fillId="2" borderId="1" xfId="0" applyFont="1" applyFill="1" applyBorder="1" applyAlignment="1">
      <alignment horizontal="center" vertical="top" wrapText="1"/>
    </xf>
    <xf numFmtId="1" fontId="1" fillId="0" borderId="0" xfId="0" applyNumberFormat="1" applyFont="1"/>
    <xf numFmtId="164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top" wrapText="1"/>
    </xf>
    <xf numFmtId="49" fontId="1" fillId="0" borderId="0" xfId="0" applyNumberFormat="1" applyFont="1"/>
    <xf numFmtId="49" fontId="0" fillId="0" borderId="0" xfId="0" applyNumberFormat="1"/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2" fillId="0" borderId="0" xfId="0" applyNumberFormat="1" applyFont="1"/>
    <xf numFmtId="1" fontId="1" fillId="0" borderId="0" xfId="0" applyNumberFormat="1" applyFont="1" applyAlignment="1">
      <alignment horizontal="center"/>
    </xf>
    <xf numFmtId="0" fontId="2" fillId="0" borderId="0" xfId="0" applyNumberFormat="1" applyFont="1"/>
    <xf numFmtId="166" fontId="1" fillId="0" borderId="0" xfId="0" applyNumberFormat="1" applyFont="1" applyAlignment="1"/>
    <xf numFmtId="164" fontId="1" fillId="0" borderId="0" xfId="0" applyNumberFormat="1" applyFont="1" applyAlignment="1"/>
    <xf numFmtId="2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/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7"/>
  <sheetViews>
    <sheetView tabSelected="1" zoomScale="75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8.85546875" customWidth="1"/>
    <col min="2" max="2" width="8.5703125" customWidth="1"/>
    <col min="3" max="3" width="7.28515625" customWidth="1"/>
    <col min="4" max="4" width="8.5703125" customWidth="1"/>
    <col min="5" max="5" width="11.42578125" customWidth="1"/>
    <col min="6" max="6" width="23.140625" customWidth="1"/>
    <col min="7" max="7" width="15" customWidth="1"/>
    <col min="8" max="8" width="14" customWidth="1"/>
    <col min="9" max="9" width="13" customWidth="1"/>
    <col min="10" max="10" width="10.28515625" customWidth="1"/>
    <col min="11" max="12" width="10.85546875" customWidth="1"/>
    <col min="13" max="14" width="13.85546875" customWidth="1"/>
    <col min="15" max="15" width="12.140625" customWidth="1"/>
    <col min="16" max="16" width="29.42578125" customWidth="1"/>
    <col min="17" max="17" width="21.85546875" customWidth="1"/>
    <col min="18" max="19" width="15" customWidth="1"/>
    <col min="20" max="27" width="10.85546875" customWidth="1"/>
    <col min="28" max="28" width="12.85546875" customWidth="1"/>
    <col min="29" max="29" width="4.5703125" customWidth="1"/>
    <col min="31" max="31" width="10.42578125" bestFit="1" customWidth="1"/>
    <col min="32" max="37" width="10.42578125" customWidth="1"/>
    <col min="38" max="38" width="9.140625" style="8"/>
  </cols>
  <sheetData>
    <row r="1" spans="1:38" ht="36" customHeight="1" thickBot="1" x14ac:dyDescent="0.25">
      <c r="A1" s="3" t="s">
        <v>3</v>
      </c>
      <c r="B1" s="3" t="s">
        <v>4</v>
      </c>
      <c r="C1" s="3" t="s">
        <v>18</v>
      </c>
      <c r="D1" s="3" t="s">
        <v>5</v>
      </c>
      <c r="E1" s="3" t="s">
        <v>6</v>
      </c>
      <c r="F1" s="3" t="s">
        <v>10</v>
      </c>
      <c r="G1" s="3" t="s">
        <v>13</v>
      </c>
      <c r="H1" s="3" t="s">
        <v>7</v>
      </c>
      <c r="I1" s="3" t="s">
        <v>23</v>
      </c>
      <c r="J1" s="3" t="s">
        <v>8</v>
      </c>
      <c r="K1" s="3" t="s">
        <v>9</v>
      </c>
      <c r="L1" s="3" t="s">
        <v>37</v>
      </c>
      <c r="M1" s="3" t="s">
        <v>22</v>
      </c>
      <c r="N1" s="3" t="s">
        <v>30</v>
      </c>
      <c r="O1" s="3" t="s">
        <v>24</v>
      </c>
      <c r="P1" s="3" t="s">
        <v>19</v>
      </c>
      <c r="Q1" s="3" t="s">
        <v>28</v>
      </c>
      <c r="R1" s="3" t="s">
        <v>12</v>
      </c>
      <c r="S1" s="3" t="s">
        <v>29</v>
      </c>
      <c r="T1" s="3" t="s">
        <v>14</v>
      </c>
      <c r="U1" s="3" t="s">
        <v>15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20</v>
      </c>
      <c r="AC1" s="3" t="s">
        <v>2</v>
      </c>
      <c r="AD1" s="3" t="s">
        <v>0</v>
      </c>
      <c r="AE1" s="3" t="s">
        <v>1</v>
      </c>
      <c r="AF1" s="3" t="s">
        <v>11</v>
      </c>
      <c r="AG1" s="3" t="s">
        <v>25</v>
      </c>
      <c r="AH1" s="3" t="s">
        <v>26</v>
      </c>
      <c r="AI1" s="3" t="s">
        <v>21</v>
      </c>
      <c r="AJ1" s="3" t="s">
        <v>16</v>
      </c>
      <c r="AK1" s="3" t="s">
        <v>17</v>
      </c>
      <c r="AL1" s="6" t="s">
        <v>27</v>
      </c>
    </row>
    <row r="2" spans="1:38" ht="13.5" customHeight="1" thickTop="1" x14ac:dyDescent="0.2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1" t="s">
        <v>58</v>
      </c>
      <c r="G2" s="1" t="s">
        <v>59</v>
      </c>
      <c r="H2" s="1" t="s">
        <v>60</v>
      </c>
      <c r="I2" s="1">
        <v>10</v>
      </c>
      <c r="J2" s="2" t="s">
        <v>61</v>
      </c>
      <c r="K2" s="2" t="s">
        <v>62</v>
      </c>
      <c r="L2" s="2" t="e">
        <f>K2-J2</f>
        <v>#VALUE!</v>
      </c>
      <c r="M2" s="18" t="s">
        <v>63</v>
      </c>
      <c r="N2" s="19" t="s">
        <v>64</v>
      </c>
      <c r="O2" s="1">
        <v>10</v>
      </c>
      <c r="P2" s="11" t="s">
        <v>65</v>
      </c>
      <c r="Q2" s="16" t="s">
        <v>66</v>
      </c>
      <c r="R2" s="9" t="s">
        <v>67</v>
      </c>
      <c r="S2" s="16" t="s">
        <v>68</v>
      </c>
      <c r="T2" s="14" t="s">
        <v>69</v>
      </c>
      <c r="U2" s="11" t="s">
        <v>70</v>
      </c>
      <c r="V2" s="14" t="s">
        <v>71</v>
      </c>
      <c r="W2" s="20" t="s">
        <v>72</v>
      </c>
      <c r="X2" s="14" t="s">
        <v>73</v>
      </c>
      <c r="Y2" s="21" t="s">
        <v>74</v>
      </c>
      <c r="Z2" s="14" t="s">
        <v>75</v>
      </c>
      <c r="AA2" s="20" t="s">
        <v>76</v>
      </c>
      <c r="AB2" s="4" t="e">
        <f>SIGN(C2)*(ABS(C2)+E2*1000000000)</f>
        <v>#VALUE!</v>
      </c>
      <c r="AC2" s="5" t="str">
        <f t="shared" ref="AC2:AC7" si="0">D2</f>
        <v>&lt;#cdsTimeSpaceLIP.POINTID&gt;</v>
      </c>
      <c r="AD2" s="5" t="e">
        <f>H2+G2+I2+10</f>
        <v>#VALUE!</v>
      </c>
      <c r="AE2" s="13" t="e">
        <f>J2*-1</f>
        <v>#VALUE!</v>
      </c>
      <c r="AF2" s="13">
        <f>O2*-1</f>
        <v>-10</v>
      </c>
      <c r="AG2" s="13" t="e">
        <f>H2+G2+10</f>
        <v>#VALUE!</v>
      </c>
      <c r="AH2" s="13" t="e">
        <f>(M2-0.5)*-1</f>
        <v>#VALUE!</v>
      </c>
      <c r="AI2" s="15" t="e">
        <f>CONCATENATE("LIP",AB2)</f>
        <v>#VALUE!</v>
      </c>
      <c r="AJ2" s="13" t="e">
        <f>AD2+33</f>
        <v>#VALUE!</v>
      </c>
      <c r="AK2" s="13" t="e">
        <f>-1*(M2)</f>
        <v>#VALUE!</v>
      </c>
      <c r="AL2" s="15" t="e">
        <f>CONCATENATE("LH",AB2)</f>
        <v>#VALUE!</v>
      </c>
    </row>
    <row r="3" spans="1:38" x14ac:dyDescent="0.2">
      <c r="A3" s="1" t="str">
        <f>A2</f>
        <v>&lt;#cdsTimeSpaceLIP.CHARTID&gt;</v>
      </c>
      <c r="B3" s="1" t="str">
        <f>B2</f>
        <v>&lt;#cdsTimeSpaceLIP.DOMAINORDER&gt;</v>
      </c>
      <c r="C3" s="1" t="str">
        <f>C2</f>
        <v>&lt;#cdsTimeSpaceLIP.LIPID&gt;</v>
      </c>
      <c r="D3" s="1">
        <v>1</v>
      </c>
      <c r="E3" s="1" t="str">
        <f t="shared" ref="E3:AB3" si="1">E2</f>
        <v>&lt;#cdsTimeSpaceLIP.DOMAINID&gt;</v>
      </c>
      <c r="F3" s="12" t="str">
        <f t="shared" si="1"/>
        <v>&lt;#cdsTimeSpaceLIP.DOMAINNAME&gt;</v>
      </c>
      <c r="G3" s="1" t="str">
        <f t="shared" si="1"/>
        <v>&lt;#cdsTimeSpaceLIP.DOMAINXMIN&gt;</v>
      </c>
      <c r="H3" s="1" t="str">
        <f t="shared" si="1"/>
        <v>&lt;#cdsTimeSpaceLIP.CHARTOFFSET_MM&gt;</v>
      </c>
      <c r="I3" s="1">
        <f t="shared" si="1"/>
        <v>10</v>
      </c>
      <c r="J3" s="2" t="str">
        <f t="shared" si="1"/>
        <v>&lt;#cdsTimeSpaceLIP.MINPLOTAGE&gt;</v>
      </c>
      <c r="K3" s="2" t="str">
        <f t="shared" si="1"/>
        <v>&lt;#cdsTimeSpaceLIP.MAXPLOTAGE&gt;</v>
      </c>
      <c r="L3" s="2" t="e">
        <f t="shared" si="1"/>
        <v>#VALUE!</v>
      </c>
      <c r="M3" s="18" t="str">
        <f t="shared" si="1"/>
        <v>&lt;#cdsTimeSpaceLIP.BARCODEAGE&gt;</v>
      </c>
      <c r="N3" s="19" t="str">
        <f t="shared" si="1"/>
        <v>&lt;#cdsTimeSpaceLIP.PLOTBARCODE&gt;</v>
      </c>
      <c r="O3" s="1">
        <f t="shared" si="1"/>
        <v>10</v>
      </c>
      <c r="P3" s="12" t="str">
        <f t="shared" si="1"/>
        <v>&lt;#cdsTimeSpaceLIP.LIPNAME&gt;</v>
      </c>
      <c r="Q3" s="17" t="str">
        <f t="shared" si="1"/>
        <v>&lt;#cdsTimeSpaceLIP.LIPHEADING&gt;</v>
      </c>
      <c r="R3" s="10" t="str">
        <f t="shared" si="1"/>
        <v>&lt;#cdsTimeSpaceLIP.INC4CHTYN&gt;</v>
      </c>
      <c r="S3" s="17" t="str">
        <f t="shared" si="1"/>
        <v>&lt;#cdsTimeSpaceLIP.LIPPARENTID&gt;</v>
      </c>
      <c r="T3" s="14" t="str">
        <f t="shared" si="1"/>
        <v>&lt;#cdsTimeSpaceLIP.CONSTRAINTLEVELID&gt;</v>
      </c>
      <c r="U3" s="12" t="str">
        <f t="shared" si="1"/>
        <v>&lt;#cdsTimeSpaceLIP.AGECONSTRAINTLEVEL&gt;</v>
      </c>
      <c r="V3" s="14" t="str">
        <f t="shared" si="1"/>
        <v>&lt;#cdsTimeSpaceLIP.COMPOSITIONID&gt;</v>
      </c>
      <c r="W3" s="20" t="str">
        <f t="shared" si="1"/>
        <v>&lt;#cdsTimeSpaceLIP.DOMINANTCOMPOSITION&gt;</v>
      </c>
      <c r="X3" s="14" t="str">
        <f t="shared" si="1"/>
        <v>&lt;#cdsTimeSpaceLIP.LIPSIZEID&gt;</v>
      </c>
      <c r="Y3" s="21" t="str">
        <f t="shared" si="1"/>
        <v>&lt;#cdsTimeSpaceLIP.LIPSIZEDESCRIPTION&gt;</v>
      </c>
      <c r="Z3" s="14" t="str">
        <f t="shared" si="1"/>
        <v>&lt;#cdsTimeSpaceLIP.LIPRATINGID&gt;</v>
      </c>
      <c r="AA3" s="20" t="str">
        <f t="shared" si="1"/>
        <v>&lt;#cdsTimeSpaceLIP.LIPRATINGDESCRIPTION&gt;</v>
      </c>
      <c r="AB3" s="1" t="e">
        <f t="shared" si="1"/>
        <v>#VALUE!</v>
      </c>
      <c r="AC3" s="5">
        <f t="shared" si="0"/>
        <v>1</v>
      </c>
      <c r="AD3" s="5" t="e">
        <f>AD2</f>
        <v>#VALUE!</v>
      </c>
      <c r="AE3" s="13" t="e">
        <f>J3*-1</f>
        <v>#VALUE!</v>
      </c>
      <c r="AF3" s="4">
        <f>AF2</f>
        <v>-10</v>
      </c>
      <c r="AG3" s="13" t="e">
        <f>AG2</f>
        <v>#VALUE!</v>
      </c>
      <c r="AH3" s="13" t="e">
        <f>(M3-0.5)*-1</f>
        <v>#VALUE!</v>
      </c>
      <c r="AI3" s="1" t="e">
        <f>AI2</f>
        <v>#VALUE!</v>
      </c>
      <c r="AJ3" s="1"/>
      <c r="AK3" s="1"/>
      <c r="AL3" s="7"/>
    </row>
    <row r="4" spans="1:38" x14ac:dyDescent="0.2">
      <c r="A4" s="1" t="str">
        <f>A2</f>
        <v>&lt;#cdsTimeSpaceLIP.CHARTID&gt;</v>
      </c>
      <c r="B4" s="1" t="str">
        <f>B2</f>
        <v>&lt;#cdsTimeSpaceLIP.DOMAINORDER&gt;</v>
      </c>
      <c r="C4" s="1" t="str">
        <f>C2</f>
        <v>&lt;#cdsTimeSpaceLIP.LIPID&gt;</v>
      </c>
      <c r="D4" s="1">
        <v>2</v>
      </c>
      <c r="E4" s="1" t="str">
        <f t="shared" ref="E4:AB4" si="2">E2</f>
        <v>&lt;#cdsTimeSpaceLIP.DOMAINID&gt;</v>
      </c>
      <c r="F4" s="12" t="str">
        <f t="shared" si="2"/>
        <v>&lt;#cdsTimeSpaceLIP.DOMAINNAME&gt;</v>
      </c>
      <c r="G4" s="1" t="str">
        <f t="shared" si="2"/>
        <v>&lt;#cdsTimeSpaceLIP.DOMAINXMIN&gt;</v>
      </c>
      <c r="H4" s="1" t="str">
        <f t="shared" si="2"/>
        <v>&lt;#cdsTimeSpaceLIP.CHARTOFFSET_MM&gt;</v>
      </c>
      <c r="I4" s="1">
        <f t="shared" si="2"/>
        <v>10</v>
      </c>
      <c r="J4" s="2" t="str">
        <f t="shared" si="2"/>
        <v>&lt;#cdsTimeSpaceLIP.MINPLOTAGE&gt;</v>
      </c>
      <c r="K4" s="2" t="str">
        <f t="shared" si="2"/>
        <v>&lt;#cdsTimeSpaceLIP.MAXPLOTAGE&gt;</v>
      </c>
      <c r="L4" s="2" t="e">
        <f t="shared" si="2"/>
        <v>#VALUE!</v>
      </c>
      <c r="M4" s="18" t="str">
        <f t="shared" si="2"/>
        <v>&lt;#cdsTimeSpaceLIP.BARCODEAGE&gt;</v>
      </c>
      <c r="N4" s="19" t="str">
        <f t="shared" si="2"/>
        <v>&lt;#cdsTimeSpaceLIP.PLOTBARCODE&gt;</v>
      </c>
      <c r="O4" s="1">
        <f t="shared" si="2"/>
        <v>10</v>
      </c>
      <c r="P4" s="12" t="str">
        <f t="shared" si="2"/>
        <v>&lt;#cdsTimeSpaceLIP.LIPNAME&gt;</v>
      </c>
      <c r="Q4" s="17" t="str">
        <f t="shared" si="2"/>
        <v>&lt;#cdsTimeSpaceLIP.LIPHEADING&gt;</v>
      </c>
      <c r="R4" s="10" t="str">
        <f t="shared" si="2"/>
        <v>&lt;#cdsTimeSpaceLIP.INC4CHTYN&gt;</v>
      </c>
      <c r="S4" s="17" t="str">
        <f t="shared" si="2"/>
        <v>&lt;#cdsTimeSpaceLIP.LIPPARENTID&gt;</v>
      </c>
      <c r="T4" s="14" t="str">
        <f t="shared" si="2"/>
        <v>&lt;#cdsTimeSpaceLIP.CONSTRAINTLEVELID&gt;</v>
      </c>
      <c r="U4" s="12" t="str">
        <f t="shared" si="2"/>
        <v>&lt;#cdsTimeSpaceLIP.AGECONSTRAINTLEVEL&gt;</v>
      </c>
      <c r="V4" s="14" t="str">
        <f t="shared" si="2"/>
        <v>&lt;#cdsTimeSpaceLIP.COMPOSITIONID&gt;</v>
      </c>
      <c r="W4" s="20" t="str">
        <f t="shared" si="2"/>
        <v>&lt;#cdsTimeSpaceLIP.DOMINANTCOMPOSITION&gt;</v>
      </c>
      <c r="X4" s="14" t="str">
        <f t="shared" si="2"/>
        <v>&lt;#cdsTimeSpaceLIP.LIPSIZEID&gt;</v>
      </c>
      <c r="Y4" s="21" t="str">
        <f t="shared" si="2"/>
        <v>&lt;#cdsTimeSpaceLIP.LIPSIZEDESCRIPTION&gt;</v>
      </c>
      <c r="Z4" s="14" t="str">
        <f t="shared" si="2"/>
        <v>&lt;#cdsTimeSpaceLIP.LIPRATINGID&gt;</v>
      </c>
      <c r="AA4" s="20" t="str">
        <f t="shared" si="2"/>
        <v>&lt;#cdsTimeSpaceLIP.LIPRATINGDESCRIPTION&gt;</v>
      </c>
      <c r="AB4" s="1" t="e">
        <f t="shared" si="2"/>
        <v>#VALUE!</v>
      </c>
      <c r="AC4" s="5">
        <f t="shared" si="0"/>
        <v>2</v>
      </c>
      <c r="AD4" s="5" t="e">
        <f>AD2</f>
        <v>#VALUE!</v>
      </c>
      <c r="AE4" s="13" t="e">
        <f>K4*-1</f>
        <v>#VALUE!</v>
      </c>
      <c r="AF4" s="4">
        <f>AF2</f>
        <v>-10</v>
      </c>
      <c r="AG4" s="13" t="e">
        <f>AG2</f>
        <v>#VALUE!</v>
      </c>
      <c r="AH4" s="13" t="e">
        <f>(M4+0.5)*-1</f>
        <v>#VALUE!</v>
      </c>
      <c r="AI4" s="1" t="e">
        <f>AI2</f>
        <v>#VALUE!</v>
      </c>
      <c r="AJ4" s="1"/>
      <c r="AK4" s="1"/>
      <c r="AL4" s="7"/>
    </row>
    <row r="5" spans="1:38" x14ac:dyDescent="0.2">
      <c r="A5" s="1" t="str">
        <f>A2</f>
        <v>&lt;#cdsTimeSpaceLIP.CHARTID&gt;</v>
      </c>
      <c r="B5" s="1" t="str">
        <f>B2</f>
        <v>&lt;#cdsTimeSpaceLIP.DOMAINORDER&gt;</v>
      </c>
      <c r="C5" s="1" t="str">
        <f>C2</f>
        <v>&lt;#cdsTimeSpaceLIP.LIPID&gt;</v>
      </c>
      <c r="D5" s="1">
        <v>3</v>
      </c>
      <c r="E5" s="1" t="str">
        <f t="shared" ref="E5:AB5" si="3">E2</f>
        <v>&lt;#cdsTimeSpaceLIP.DOMAINID&gt;</v>
      </c>
      <c r="F5" s="12" t="str">
        <f t="shared" si="3"/>
        <v>&lt;#cdsTimeSpaceLIP.DOMAINNAME&gt;</v>
      </c>
      <c r="G5" s="1" t="str">
        <f t="shared" si="3"/>
        <v>&lt;#cdsTimeSpaceLIP.DOMAINXMIN&gt;</v>
      </c>
      <c r="H5" s="1" t="str">
        <f t="shared" si="3"/>
        <v>&lt;#cdsTimeSpaceLIP.CHARTOFFSET_MM&gt;</v>
      </c>
      <c r="I5" s="1">
        <f t="shared" si="3"/>
        <v>10</v>
      </c>
      <c r="J5" s="2" t="str">
        <f t="shared" si="3"/>
        <v>&lt;#cdsTimeSpaceLIP.MINPLOTAGE&gt;</v>
      </c>
      <c r="K5" s="2" t="str">
        <f t="shared" si="3"/>
        <v>&lt;#cdsTimeSpaceLIP.MAXPLOTAGE&gt;</v>
      </c>
      <c r="L5" s="2" t="e">
        <f t="shared" si="3"/>
        <v>#VALUE!</v>
      </c>
      <c r="M5" s="18" t="str">
        <f t="shared" si="3"/>
        <v>&lt;#cdsTimeSpaceLIP.BARCODEAGE&gt;</v>
      </c>
      <c r="N5" s="19" t="str">
        <f t="shared" si="3"/>
        <v>&lt;#cdsTimeSpaceLIP.PLOTBARCODE&gt;</v>
      </c>
      <c r="O5" s="1">
        <f t="shared" si="3"/>
        <v>10</v>
      </c>
      <c r="P5" s="12" t="str">
        <f t="shared" si="3"/>
        <v>&lt;#cdsTimeSpaceLIP.LIPNAME&gt;</v>
      </c>
      <c r="Q5" s="17" t="str">
        <f t="shared" si="3"/>
        <v>&lt;#cdsTimeSpaceLIP.LIPHEADING&gt;</v>
      </c>
      <c r="R5" s="10" t="str">
        <f t="shared" si="3"/>
        <v>&lt;#cdsTimeSpaceLIP.INC4CHTYN&gt;</v>
      </c>
      <c r="S5" s="17" t="str">
        <f t="shared" si="3"/>
        <v>&lt;#cdsTimeSpaceLIP.LIPPARENTID&gt;</v>
      </c>
      <c r="T5" s="14" t="str">
        <f t="shared" si="3"/>
        <v>&lt;#cdsTimeSpaceLIP.CONSTRAINTLEVELID&gt;</v>
      </c>
      <c r="U5" s="12" t="str">
        <f t="shared" si="3"/>
        <v>&lt;#cdsTimeSpaceLIP.AGECONSTRAINTLEVEL&gt;</v>
      </c>
      <c r="V5" s="14" t="str">
        <f t="shared" si="3"/>
        <v>&lt;#cdsTimeSpaceLIP.COMPOSITIONID&gt;</v>
      </c>
      <c r="W5" s="20" t="str">
        <f t="shared" si="3"/>
        <v>&lt;#cdsTimeSpaceLIP.DOMINANTCOMPOSITION&gt;</v>
      </c>
      <c r="X5" s="14" t="str">
        <f t="shared" si="3"/>
        <v>&lt;#cdsTimeSpaceLIP.LIPSIZEID&gt;</v>
      </c>
      <c r="Y5" s="21" t="str">
        <f t="shared" si="3"/>
        <v>&lt;#cdsTimeSpaceLIP.LIPSIZEDESCRIPTION&gt;</v>
      </c>
      <c r="Z5" s="14" t="str">
        <f t="shared" si="3"/>
        <v>&lt;#cdsTimeSpaceLIP.LIPRATINGID&gt;</v>
      </c>
      <c r="AA5" s="20" t="str">
        <f t="shared" si="3"/>
        <v>&lt;#cdsTimeSpaceLIP.LIPRATINGDESCRIPTION&gt;</v>
      </c>
      <c r="AB5" s="1" t="e">
        <f t="shared" si="3"/>
        <v>#VALUE!</v>
      </c>
      <c r="AC5" s="5">
        <f t="shared" si="0"/>
        <v>3</v>
      </c>
      <c r="AD5" s="5" t="e">
        <f>AD2+O2</f>
        <v>#VALUE!</v>
      </c>
      <c r="AE5" s="13" t="e">
        <f>K5*-1</f>
        <v>#VALUE!</v>
      </c>
      <c r="AF5" s="4">
        <f>AF2</f>
        <v>-10</v>
      </c>
      <c r="AG5" s="13" t="e">
        <f>AG2+O2</f>
        <v>#VALUE!</v>
      </c>
      <c r="AH5" s="13" t="e">
        <f>(M5+0.5)*-1</f>
        <v>#VALUE!</v>
      </c>
      <c r="AI5" s="1" t="e">
        <f>AI2</f>
        <v>#VALUE!</v>
      </c>
      <c r="AJ5" s="1"/>
      <c r="AK5" s="1"/>
      <c r="AL5" s="7"/>
    </row>
    <row r="6" spans="1:38" x14ac:dyDescent="0.2">
      <c r="A6" s="1" t="str">
        <f>A2</f>
        <v>&lt;#cdsTimeSpaceLIP.CHARTID&gt;</v>
      </c>
      <c r="B6" s="1" t="str">
        <f>B2</f>
        <v>&lt;#cdsTimeSpaceLIP.DOMAINORDER&gt;</v>
      </c>
      <c r="C6" s="1" t="str">
        <f>C2</f>
        <v>&lt;#cdsTimeSpaceLIP.LIPID&gt;</v>
      </c>
      <c r="D6" s="1">
        <v>4</v>
      </c>
      <c r="E6" s="1" t="str">
        <f t="shared" ref="E6:AB6" si="4">E2</f>
        <v>&lt;#cdsTimeSpaceLIP.DOMAINID&gt;</v>
      </c>
      <c r="F6" s="12" t="str">
        <f t="shared" si="4"/>
        <v>&lt;#cdsTimeSpaceLIP.DOMAINNAME&gt;</v>
      </c>
      <c r="G6" s="1" t="str">
        <f t="shared" si="4"/>
        <v>&lt;#cdsTimeSpaceLIP.DOMAINXMIN&gt;</v>
      </c>
      <c r="H6" s="1" t="str">
        <f t="shared" si="4"/>
        <v>&lt;#cdsTimeSpaceLIP.CHARTOFFSET_MM&gt;</v>
      </c>
      <c r="I6" s="1">
        <f t="shared" si="4"/>
        <v>10</v>
      </c>
      <c r="J6" s="2" t="str">
        <f t="shared" si="4"/>
        <v>&lt;#cdsTimeSpaceLIP.MINPLOTAGE&gt;</v>
      </c>
      <c r="K6" s="2" t="str">
        <f t="shared" si="4"/>
        <v>&lt;#cdsTimeSpaceLIP.MAXPLOTAGE&gt;</v>
      </c>
      <c r="L6" s="2" t="e">
        <f t="shared" si="4"/>
        <v>#VALUE!</v>
      </c>
      <c r="M6" s="18" t="str">
        <f t="shared" si="4"/>
        <v>&lt;#cdsTimeSpaceLIP.BARCODEAGE&gt;</v>
      </c>
      <c r="N6" s="19" t="str">
        <f t="shared" si="4"/>
        <v>&lt;#cdsTimeSpaceLIP.PLOTBARCODE&gt;</v>
      </c>
      <c r="O6" s="1">
        <f t="shared" si="4"/>
        <v>10</v>
      </c>
      <c r="P6" s="12" t="str">
        <f t="shared" si="4"/>
        <v>&lt;#cdsTimeSpaceLIP.LIPNAME&gt;</v>
      </c>
      <c r="Q6" s="17" t="str">
        <f t="shared" si="4"/>
        <v>&lt;#cdsTimeSpaceLIP.LIPHEADING&gt;</v>
      </c>
      <c r="R6" s="10" t="str">
        <f t="shared" si="4"/>
        <v>&lt;#cdsTimeSpaceLIP.INC4CHTYN&gt;</v>
      </c>
      <c r="S6" s="17" t="str">
        <f t="shared" si="4"/>
        <v>&lt;#cdsTimeSpaceLIP.LIPPARENTID&gt;</v>
      </c>
      <c r="T6" s="14" t="str">
        <f t="shared" si="4"/>
        <v>&lt;#cdsTimeSpaceLIP.CONSTRAINTLEVELID&gt;</v>
      </c>
      <c r="U6" s="12" t="str">
        <f t="shared" si="4"/>
        <v>&lt;#cdsTimeSpaceLIP.AGECONSTRAINTLEVEL&gt;</v>
      </c>
      <c r="V6" s="14" t="str">
        <f t="shared" si="4"/>
        <v>&lt;#cdsTimeSpaceLIP.COMPOSITIONID&gt;</v>
      </c>
      <c r="W6" s="20" t="str">
        <f t="shared" si="4"/>
        <v>&lt;#cdsTimeSpaceLIP.DOMINANTCOMPOSITION&gt;</v>
      </c>
      <c r="X6" s="14" t="str">
        <f t="shared" si="4"/>
        <v>&lt;#cdsTimeSpaceLIP.LIPSIZEID&gt;</v>
      </c>
      <c r="Y6" s="21" t="str">
        <f t="shared" si="4"/>
        <v>&lt;#cdsTimeSpaceLIP.LIPSIZEDESCRIPTION&gt;</v>
      </c>
      <c r="Z6" s="14" t="str">
        <f t="shared" si="4"/>
        <v>&lt;#cdsTimeSpaceLIP.LIPRATINGID&gt;</v>
      </c>
      <c r="AA6" s="20" t="str">
        <f t="shared" si="4"/>
        <v>&lt;#cdsTimeSpaceLIP.LIPRATINGDESCRIPTION&gt;</v>
      </c>
      <c r="AB6" s="1" t="e">
        <f t="shared" si="4"/>
        <v>#VALUE!</v>
      </c>
      <c r="AC6" s="5">
        <f t="shared" si="0"/>
        <v>4</v>
      </c>
      <c r="AD6" s="5" t="e">
        <f>AD2+O2</f>
        <v>#VALUE!</v>
      </c>
      <c r="AE6" s="13" t="e">
        <f>J6*-1</f>
        <v>#VALUE!</v>
      </c>
      <c r="AF6" s="4">
        <f>AF2</f>
        <v>-10</v>
      </c>
      <c r="AG6" s="13" t="e">
        <f>AG2+O2</f>
        <v>#VALUE!</v>
      </c>
      <c r="AH6" s="13" t="e">
        <f>(M6-0.5)*-1</f>
        <v>#VALUE!</v>
      </c>
      <c r="AI6" s="1" t="e">
        <f>AI2</f>
        <v>#VALUE!</v>
      </c>
      <c r="AJ6" s="1"/>
      <c r="AK6" s="1"/>
      <c r="AL6" s="7"/>
    </row>
    <row r="7" spans="1:38" x14ac:dyDescent="0.2">
      <c r="A7" s="1" t="str">
        <f>A2</f>
        <v>&lt;#cdsTimeSpaceLIP.CHARTID&gt;</v>
      </c>
      <c r="B7" s="1" t="str">
        <f>B2</f>
        <v>&lt;#cdsTimeSpaceLIP.DOMAINORDER&gt;</v>
      </c>
      <c r="C7" s="1" t="str">
        <f>C2</f>
        <v>&lt;#cdsTimeSpaceLIP.LIPID&gt;</v>
      </c>
      <c r="D7" s="1">
        <v>5</v>
      </c>
      <c r="E7" s="1" t="str">
        <f t="shared" ref="E7:AB7" si="5">E2</f>
        <v>&lt;#cdsTimeSpaceLIP.DOMAINID&gt;</v>
      </c>
      <c r="F7" s="12" t="str">
        <f t="shared" si="5"/>
        <v>&lt;#cdsTimeSpaceLIP.DOMAINNAME&gt;</v>
      </c>
      <c r="G7" s="1" t="str">
        <f t="shared" si="5"/>
        <v>&lt;#cdsTimeSpaceLIP.DOMAINXMIN&gt;</v>
      </c>
      <c r="H7" s="1" t="str">
        <f t="shared" si="5"/>
        <v>&lt;#cdsTimeSpaceLIP.CHARTOFFSET_MM&gt;</v>
      </c>
      <c r="I7" s="1">
        <f t="shared" si="5"/>
        <v>10</v>
      </c>
      <c r="J7" s="2" t="str">
        <f t="shared" si="5"/>
        <v>&lt;#cdsTimeSpaceLIP.MINPLOTAGE&gt;</v>
      </c>
      <c r="K7" s="2" t="str">
        <f t="shared" si="5"/>
        <v>&lt;#cdsTimeSpaceLIP.MAXPLOTAGE&gt;</v>
      </c>
      <c r="L7" s="2" t="e">
        <f t="shared" si="5"/>
        <v>#VALUE!</v>
      </c>
      <c r="M7" s="18" t="str">
        <f t="shared" si="5"/>
        <v>&lt;#cdsTimeSpaceLIP.BARCODEAGE&gt;</v>
      </c>
      <c r="N7" s="19" t="str">
        <f t="shared" si="5"/>
        <v>&lt;#cdsTimeSpaceLIP.PLOTBARCODE&gt;</v>
      </c>
      <c r="O7" s="1">
        <f t="shared" si="5"/>
        <v>10</v>
      </c>
      <c r="P7" s="12" t="str">
        <f t="shared" si="5"/>
        <v>&lt;#cdsTimeSpaceLIP.LIPNAME&gt;</v>
      </c>
      <c r="Q7" s="17" t="str">
        <f t="shared" si="5"/>
        <v>&lt;#cdsTimeSpaceLIP.LIPHEADING&gt;</v>
      </c>
      <c r="R7" s="10" t="str">
        <f t="shared" si="5"/>
        <v>&lt;#cdsTimeSpaceLIP.INC4CHTYN&gt;</v>
      </c>
      <c r="S7" s="17" t="str">
        <f t="shared" si="5"/>
        <v>&lt;#cdsTimeSpaceLIP.LIPPARENTID&gt;</v>
      </c>
      <c r="T7" s="14" t="str">
        <f t="shared" si="5"/>
        <v>&lt;#cdsTimeSpaceLIP.CONSTRAINTLEVELID&gt;</v>
      </c>
      <c r="U7" s="12" t="str">
        <f t="shared" si="5"/>
        <v>&lt;#cdsTimeSpaceLIP.AGECONSTRAINTLEVEL&gt;</v>
      </c>
      <c r="V7" s="14" t="str">
        <f t="shared" si="5"/>
        <v>&lt;#cdsTimeSpaceLIP.COMPOSITIONID&gt;</v>
      </c>
      <c r="W7" s="20" t="str">
        <f t="shared" si="5"/>
        <v>&lt;#cdsTimeSpaceLIP.DOMINANTCOMPOSITION&gt;</v>
      </c>
      <c r="X7" s="14" t="str">
        <f t="shared" si="5"/>
        <v>&lt;#cdsTimeSpaceLIP.LIPSIZEID&gt;</v>
      </c>
      <c r="Y7" s="21" t="str">
        <f t="shared" si="5"/>
        <v>&lt;#cdsTimeSpaceLIP.LIPSIZEDESCRIPTION&gt;</v>
      </c>
      <c r="Z7" s="14" t="str">
        <f t="shared" si="5"/>
        <v>&lt;#cdsTimeSpaceLIP.LIPRATINGID&gt;</v>
      </c>
      <c r="AA7" s="20" t="str">
        <f t="shared" si="5"/>
        <v>&lt;#cdsTimeSpaceLIP.LIPRATINGDESCRIPTION&gt;</v>
      </c>
      <c r="AB7" s="1" t="e">
        <f t="shared" si="5"/>
        <v>#VALUE!</v>
      </c>
      <c r="AC7" s="5">
        <f t="shared" si="0"/>
        <v>5</v>
      </c>
      <c r="AD7" s="5" t="e">
        <f>AD2</f>
        <v>#VALUE!</v>
      </c>
      <c r="AE7" s="13" t="e">
        <f>J7*-1</f>
        <v>#VALUE!</v>
      </c>
      <c r="AF7" s="4">
        <f>AF2</f>
        <v>-10</v>
      </c>
      <c r="AG7" s="13" t="e">
        <f>AG2</f>
        <v>#VALUE!</v>
      </c>
      <c r="AH7" s="13" t="e">
        <f>(M7-0.5)*-1</f>
        <v>#VALUE!</v>
      </c>
      <c r="AI7" s="1" t="e">
        <f>AI2</f>
        <v>#VALUE!</v>
      </c>
      <c r="AJ7" s="1"/>
      <c r="AK7" s="1"/>
      <c r="AL7" s="7"/>
    </row>
  </sheetData>
  <pageMargins left="0.75" right="0.75" top="1" bottom="1" header="0.5" footer="0.5"/>
  <pageSetup scale="32" orientation="landscape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22" customWidth="1"/>
    <col min="2" max="2" width="18.7109375" style="22" customWidth="1"/>
    <col min="3" max="3" width="32.7109375" style="22" customWidth="1"/>
    <col min="4" max="4" width="24.7109375" style="22" customWidth="1"/>
    <col min="5" max="7" width="1.7109375" style="22" customWidth="1"/>
    <col min="8" max="8" width="14.7109375" style="22" customWidth="1"/>
    <col min="9" max="9" width="11.7109375" style="22" customWidth="1"/>
    <col min="10" max="12" width="1.7109375" style="22" customWidth="1"/>
    <col min="13" max="13" width="14.7109375" style="22" customWidth="1"/>
    <col min="14" max="14" width="20.7109375" style="22" customWidth="1"/>
  </cols>
  <sheetData>
    <row r="1" spans="1:14" s="23" customFormat="1" ht="18" x14ac:dyDescent="0.25">
      <c r="A1" s="23" t="s">
        <v>38</v>
      </c>
    </row>
    <row r="3" spans="1:14" x14ac:dyDescent="0.25">
      <c r="A3" s="24" t="s">
        <v>39</v>
      </c>
    </row>
    <row r="4" spans="1:14" x14ac:dyDescent="0.25">
      <c r="A4" s="24" t="s">
        <v>40</v>
      </c>
    </row>
    <row r="5" spans="1:14" x14ac:dyDescent="0.25">
      <c r="A5" s="24" t="s">
        <v>41</v>
      </c>
    </row>
    <row r="8" spans="1:14" x14ac:dyDescent="0.25">
      <c r="A8" s="24" t="s">
        <v>42</v>
      </c>
      <c r="B8" s="24"/>
      <c r="C8" s="24"/>
      <c r="D8" s="24"/>
      <c r="H8" s="24" t="s">
        <v>43</v>
      </c>
      <c r="I8" s="24"/>
      <c r="M8" s="24" t="s">
        <v>44</v>
      </c>
      <c r="N8" s="24"/>
    </row>
    <row r="9" spans="1:14" ht="30" x14ac:dyDescent="0.25">
      <c r="A9" s="25" t="s">
        <v>45</v>
      </c>
      <c r="B9" s="25" t="s">
        <v>46</v>
      </c>
      <c r="C9" s="25" t="s">
        <v>47</v>
      </c>
      <c r="D9" s="25" t="s">
        <v>48</v>
      </c>
      <c r="H9" s="25" t="s">
        <v>49</v>
      </c>
      <c r="I9" s="25" t="s">
        <v>50</v>
      </c>
      <c r="M9" s="25" t="s">
        <v>51</v>
      </c>
      <c r="N9" s="25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timespacelip</vt:lpstr>
      <vt:lpstr>&lt;#Config&gt;</vt:lpstr>
      <vt:lpstr>__cdsTimeSpaceLIP__</vt:lpstr>
      <vt:lpstr>timespacelip!Print_Area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cp:lastPrinted>2009-01-20T18:42:21Z</cp:lastPrinted>
  <dcterms:created xsi:type="dcterms:W3CDTF">2020-03-19T23:08:04Z</dcterms:created>
  <dcterms:modified xsi:type="dcterms:W3CDTF">2020-09-15T22:02:25Z</dcterms:modified>
</cp:coreProperties>
</file>