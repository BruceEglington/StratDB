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2FEB6FD8-4185-4E52-9262-61453D0B8D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domaincurves" sheetId="1" r:id="rId1"/>
    <sheet name="&lt;#Config&gt;" sheetId="2" r:id="rId2"/>
  </sheets>
  <definedNames>
    <definedName name="__cdsTimeSpaceDomainCurves__">timespacedomaincurves!$A$2:$T$2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" i="1" l="1"/>
  <c r="Q2" i="1"/>
  <c r="P2" i="1"/>
  <c r="T2" i="1" s="1"/>
  <c r="H2" i="1"/>
  <c r="R2" i="1" s="1"/>
</calcChain>
</file>

<file path=xl/sharedStrings.xml><?xml version="1.0" encoding="utf-8"?>
<sst xmlns="http://schemas.openxmlformats.org/spreadsheetml/2006/main" count="47" uniqueCount="47">
  <si>
    <t>X</t>
  </si>
  <si>
    <t>Y</t>
  </si>
  <si>
    <t>i</t>
  </si>
  <si>
    <t>ChartID</t>
  </si>
  <si>
    <t>DomainOrder</t>
  </si>
  <si>
    <t>DomainID</t>
  </si>
  <si>
    <t>ChartOffset</t>
  </si>
  <si>
    <t>DomainOffset</t>
  </si>
  <si>
    <t>DomainName</t>
  </si>
  <si>
    <t>DomainXMin</t>
  </si>
  <si>
    <t>DomainXMax</t>
  </si>
  <si>
    <t>CurveOrder</t>
  </si>
  <si>
    <t>PdfOrder</t>
  </si>
  <si>
    <t>PdfValue</t>
  </si>
  <si>
    <t>PdfAge</t>
  </si>
  <si>
    <t>PDF</t>
  </si>
  <si>
    <t>PDFstr</t>
  </si>
  <si>
    <t>CurveOffset</t>
  </si>
  <si>
    <t>BoxWidth</t>
  </si>
  <si>
    <t>BoxRange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</si>
  <si>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</si>
  <si>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</si>
  <si>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</si>
  <si>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</si>
  <si>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</si>
  <si>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</si>
  <si>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</si>
  <si>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</si>
  <si>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</si>
  <si>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</si>
  <si>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</si>
  <si>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</si>
  <si>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</si>
  <si>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</si>
  <si>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</si>
  <si>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&lt;#cdsTimeSpaceDomainCurves.CHARTID&gt;</t>
  </si>
  <si>
    <t>&lt;#cdsTimeSpaceDomainCurves.DOMAINORDER&gt;</t>
  </si>
  <si>
    <t>&lt;#cdsTimeSpaceDomainCurves.DOMAINID&gt;</t>
  </si>
  <si>
    <t>&lt;#cdsTimeSpaceDomainCurves.CHARTOFFSET_MM&gt;</t>
  </si>
  <si>
    <t>&lt;#cdsTimeSpaceDomainCurves.DOMAINOFFSET_MM&gt;</t>
  </si>
  <si>
    <t>&lt;#cdsTimeSpaceDomainCurves.DOMAINXMIN&gt;</t>
  </si>
  <si>
    <t>&lt;#cdsTimeSpaceDomainCurves.DOMAINXMAX&gt;</t>
  </si>
  <si>
    <t>&lt;#cdsTimeSpaceDomainCurves.CURVEORDER&gt;</t>
  </si>
  <si>
    <t>&lt;#cdsTimeSpaceDomainCurves.PDFORDER&gt;</t>
  </si>
  <si>
    <t>&lt;#cdsTimeSpaceDomainCurves.AGE&gt;</t>
  </si>
  <si>
    <t>&lt;#cdsTimeSpaceDomainCurves.PDFVALUE&gt;</t>
  </si>
  <si>
    <t>&lt;#cdsTimeSpaceDomainCurves.DOMAINNAME&gt;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</si>
</sst>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;;"/>
    <numFmt numFmtId="166" formatCode="0.000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75" workbookViewId="0"/>
  </sheetViews>
  <sheetFormatPr defaultColWidth="9.140625" defaultRowHeight="12.75" x14ac:dyDescent="0.2"/>
  <cols>
    <col min="1" max="1" width="7" customWidth="1"/>
    <col min="2" max="2" width="8.5703125" customWidth="1"/>
    <col min="3" max="3" width="9.28515625" customWidth="1"/>
    <col min="4" max="4" width="14" customWidth="1"/>
    <col min="5" max="5" width="15" customWidth="1"/>
    <col min="6" max="8" width="9.28515625" customWidth="1"/>
    <col min="9" max="10" width="15" customWidth="1"/>
    <col min="11" max="11" width="10.28515625" customWidth="1"/>
    <col min="12" max="15" width="10.85546875" customWidth="1"/>
    <col min="16" max="16" width="11.7109375" customWidth="1"/>
    <col min="17" max="17" width="9.85546875" customWidth="1"/>
    <col min="18" max="18" width="9.28515625" bestFit="1" customWidth="1"/>
    <col min="19" max="19" width="10.42578125" bestFit="1" customWidth="1"/>
    <col min="20" max="20" width="9.140625" style="4"/>
  </cols>
  <sheetData>
    <row r="1" spans="1:20" ht="36" customHeight="1" thickBo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17</v>
      </c>
      <c r="G1" s="2" t="s">
        <v>18</v>
      </c>
      <c r="H1" s="2" t="s">
        <v>19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13</v>
      </c>
      <c r="O1" s="2" t="s">
        <v>8</v>
      </c>
      <c r="P1" s="2" t="s">
        <v>15</v>
      </c>
      <c r="Q1" s="2" t="s">
        <v>2</v>
      </c>
      <c r="R1" s="2" t="s">
        <v>0</v>
      </c>
      <c r="S1" s="2" t="s">
        <v>1</v>
      </c>
      <c r="T1" s="3" t="s">
        <v>16</v>
      </c>
    </row>
    <row r="2" spans="1:20" ht="13.5" customHeight="1" thickTop="1" x14ac:dyDescent="0.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>
        <v>12</v>
      </c>
      <c r="G2" s="1">
        <v>30</v>
      </c>
      <c r="H2" s="1">
        <f>G2-(F2-10)</f>
        <v>28</v>
      </c>
      <c r="I2" s="5" t="s">
        <v>40</v>
      </c>
      <c r="J2" s="5" t="s">
        <v>41</v>
      </c>
      <c r="K2" s="5" t="s">
        <v>42</v>
      </c>
      <c r="L2" s="5" t="s">
        <v>43</v>
      </c>
      <c r="M2" s="7" t="s">
        <v>44</v>
      </c>
      <c r="N2" s="7" t="s">
        <v>45</v>
      </c>
      <c r="O2" s="6" t="s">
        <v>46</v>
      </c>
      <c r="P2" s="8" t="e">
        <f>1000000+1000*K2+B2</f>
        <v>#VALUE!</v>
      </c>
      <c r="Q2" s="9" t="e">
        <f>B2*1000000+K2*10000+L2</f>
        <v>#VALUE!</v>
      </c>
      <c r="R2" s="11" t="e">
        <f>IF(N2&gt;1,D2+I2+F2+((N2/100)*H2),"")</f>
        <v>#VALUE!</v>
      </c>
      <c r="S2" s="11" t="e">
        <f>IF(N2&gt;1,M2*-1,"")</f>
        <v>#VALUE!</v>
      </c>
      <c r="T2" s="10" t="e">
        <f>CONCATENATE("PDF",P2)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2" customWidth="1"/>
    <col min="2" max="2" width="18.7109375" style="12" customWidth="1"/>
    <col min="3" max="3" width="32.7109375" style="12" customWidth="1"/>
    <col min="4" max="4" width="24.7109375" style="12" customWidth="1"/>
    <col min="5" max="7" width="1.7109375" style="12" customWidth="1"/>
    <col min="8" max="8" width="14.7109375" style="12" customWidth="1"/>
    <col min="9" max="9" width="11.7109375" style="12" customWidth="1"/>
    <col min="10" max="12" width="1.7109375" style="12" customWidth="1"/>
    <col min="13" max="13" width="14.7109375" style="12" customWidth="1"/>
    <col min="14" max="14" width="20.7109375" style="12" customWidth="1"/>
  </cols>
  <sheetData>
    <row r="1" spans="1:14" s="13" customFormat="1" ht="18" x14ac:dyDescent="0.25">
      <c r="A1" s="13" t="s">
        <v>20</v>
      </c>
    </row>
    <row r="3" spans="1:14" x14ac:dyDescent="0.25">
      <c r="A3" s="14" t="s">
        <v>21</v>
      </c>
    </row>
    <row r="4" spans="1:14" x14ac:dyDescent="0.25">
      <c r="A4" s="14" t="s">
        <v>22</v>
      </c>
    </row>
    <row r="5" spans="1:14" x14ac:dyDescent="0.25">
      <c r="A5" s="14" t="s">
        <v>23</v>
      </c>
    </row>
    <row r="8" spans="1:14" x14ac:dyDescent="0.25">
      <c r="A8" s="14" t="s">
        <v>24</v>
      </c>
      <c r="B8" s="14"/>
      <c r="C8" s="14"/>
      <c r="D8" s="14"/>
      <c r="H8" s="14" t="s">
        <v>25</v>
      </c>
      <c r="I8" s="14"/>
      <c r="M8" s="14" t="s">
        <v>26</v>
      </c>
      <c r="N8" s="14"/>
    </row>
    <row r="9" spans="1:14" ht="30" x14ac:dyDescent="0.25">
      <c r="A9" s="15" t="s">
        <v>27</v>
      </c>
      <c r="B9" s="15" t="s">
        <v>28</v>
      </c>
      <c r="C9" s="15" t="s">
        <v>29</v>
      </c>
      <c r="D9" s="15" t="s">
        <v>30</v>
      </c>
      <c r="H9" s="15" t="s">
        <v>31</v>
      </c>
      <c r="I9" s="15" t="s">
        <v>32</v>
      </c>
      <c r="M9" s="15" t="s">
        <v>33</v>
      </c>
      <c r="N9" s="15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timespacedomaincurves</vt:lpstr>
      <vt:lpstr>&lt;#Config&gt;</vt:lpstr>
      <vt:lpstr>__cdsTimeSpaceDomainCurves__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2020-09-17T19:27:01Z</dcterms:modified>
</cp:coreProperties>
</file>