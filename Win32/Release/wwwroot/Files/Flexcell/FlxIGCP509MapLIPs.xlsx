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4EFC5ACF-B5CC-4EE5-9BD3-87CE133A9F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maplips" sheetId="1" r:id="rId1"/>
    <sheet name="&lt;#Config&gt;" sheetId="2" r:id="rId2"/>
  </sheets>
  <definedNames>
    <definedName name="__cdsChartMapLIPs__">maplips!$A$2:$AF$2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2" i="1" l="1"/>
  <c r="AB2" i="1"/>
  <c r="AF2" i="1" s="1"/>
  <c r="AA2" i="1"/>
  <c r="AD2" i="1" s="1"/>
  <c r="AE2" i="1" s="1"/>
  <c r="Z2" i="1"/>
  <c r="Y2" i="1"/>
  <c r="X2" i="1"/>
</calcChain>
</file>

<file path=xl/sharedStrings.xml><?xml version="1.0" encoding="utf-8"?>
<sst xmlns="http://schemas.openxmlformats.org/spreadsheetml/2006/main" count="70" uniqueCount="70">
  <si>
    <t>ChartID</t>
  </si>
  <si>
    <t>MinimumAge</t>
  </si>
  <si>
    <t>MaximumAge</t>
  </si>
  <si>
    <t>AgeConstraintLevelID</t>
  </si>
  <si>
    <t>AgeConstraintLevel</t>
  </si>
  <si>
    <t>MapID</t>
  </si>
  <si>
    <t>MapName</t>
  </si>
  <si>
    <t>IncludeForMap</t>
  </si>
  <si>
    <t>GISInt</t>
  </si>
  <si>
    <t>GISStr</t>
  </si>
  <si>
    <t>MinAgeNeg</t>
  </si>
  <si>
    <t>MaxAgeNeg</t>
  </si>
  <si>
    <t>ParentID</t>
  </si>
  <si>
    <t>LIPID</t>
  </si>
  <si>
    <t>ContinentID</t>
  </si>
  <si>
    <t>LIPName</t>
  </si>
  <si>
    <t>LIPHeading</t>
  </si>
  <si>
    <t>PlotBarcode</t>
  </si>
  <si>
    <t>BarcodeAge</t>
  </si>
  <si>
    <t>Rating</t>
  </si>
  <si>
    <t>Size</t>
  </si>
  <si>
    <t>RatingID</t>
  </si>
  <si>
    <t>SizeID</t>
  </si>
  <si>
    <t>CompositionID</t>
  </si>
  <si>
    <t>DominantComposition</t>
  </si>
  <si>
    <t>AgeMiddle</t>
  </si>
  <si>
    <t>AGERANGE</t>
  </si>
  <si>
    <t>MaxAgeRange</t>
  </si>
  <si>
    <t>MinAgeRange</t>
  </si>
  <si>
    <t>LIMYtmp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</si>
  <si>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</si>
  <si>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</si>
  <si>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</si>
  <si>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</si>
  <si>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</si>
  <si>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</si>
  <si>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</si>
  <si>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</si>
  <si>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</si>
  <si>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</si>
  <si>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</si>
  <si>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</si>
  <si>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</si>
  <si>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</si>
  <si>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</si>
  <si>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&lt;#cdsChartMapLIPs.CHARTID&gt;</t>
  </si>
  <si>
    <t>&lt;#cdsChartMapLIPs.MAPID2&gt;</t>
  </si>
  <si>
    <t>&lt;#cdsChartMapLIPs.MAPNAME&gt;</t>
  </si>
  <si>
    <t>&lt;#cdsChartMapLIPs.CONTINENTID&gt;</t>
  </si>
  <si>
    <t>&lt;#cdsChartMapLIPs.LIPID&gt;</t>
  </si>
  <si>
    <t>&lt;#cdsChartMapLIPs.LIPPARENTID&gt;</t>
  </si>
  <si>
    <t>&lt;#cdsChartMapLIPs.MINPLOTAGE&gt;</t>
  </si>
  <si>
    <t>&lt;#cdsChartMapLIPs.MAXPLOTAGE&gt;</t>
  </si>
  <si>
    <t>&lt;#cdsChartMapLIPs.LIPHEADING&gt;</t>
  </si>
  <si>
    <t>&lt;#cdsChartMapLIPs.LIPNAME&gt;</t>
  </si>
  <si>
    <t>&lt;#cdsChartMapLIPs.PLOTBARCODE&gt;</t>
  </si>
  <si>
    <t>&lt;#cdsChartMapLIPs.BARCODEAGE&gt;</t>
  </si>
  <si>
    <t>&lt;#cdsChartMapLIPs.INCL4MAP&gt;</t>
  </si>
  <si>
    <t>&lt;#cdsChartMapLIPs.GISINT&gt;</t>
  </si>
  <si>
    <t>&lt;#cdsChartMapLIPs.GISSTR&gt;</t>
  </si>
  <si>
    <t>&lt;#cdsChartMapLIPs.LIPRATINGDESCRIPTION&gt;</t>
  </si>
  <si>
    <t>&lt;#cdsChartMapLIPs.LIPSIZEDESCRIPTION&gt;</t>
  </si>
  <si>
    <t>&lt;#cdsChartMapLIPs.LIPRATINGID&gt;</t>
  </si>
  <si>
    <t>&lt;#cdsChartMapLIPs.LIPSIZEID&gt;</t>
  </si>
  <si>
    <t>&lt;#cdsChartMapLIPs.COMPOSITIONID&gt;</t>
  </si>
  <si>
    <t>&lt;#cdsChartMapLIPs.DOMINANTCOMPOSITION&gt;</t>
  </si>
  <si>
    <t>&lt;#cdsChartMapLIPs.CONSTRAINTLEVELID&gt;</t>
  </si>
  <si>
    <t>&lt;#cdsChartMapLIPs.AGECONSTRAINTLEVEL&gt;</t>
  </si>
  <si>
    <t>LIMYNG</t>
  </si>
  <si>
    <t>LIMOLD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</si>
</sst>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166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166" fontId="1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zoomScale="75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8.85546875" customWidth="1"/>
    <col min="2" max="2" width="8.5703125" customWidth="1"/>
    <col min="3" max="4" width="11.42578125" customWidth="1"/>
    <col min="5" max="5" width="10.5703125" customWidth="1"/>
    <col min="6" max="6" width="11.28515625" customWidth="1"/>
    <col min="7" max="7" width="10.28515625" customWidth="1"/>
    <col min="8" max="8" width="10.85546875" customWidth="1"/>
    <col min="9" max="9" width="15.42578125" customWidth="1"/>
    <col min="10" max="10" width="29.42578125" customWidth="1"/>
    <col min="11" max="11" width="15" customWidth="1"/>
    <col min="12" max="12" width="12.140625" customWidth="1"/>
    <col min="13" max="15" width="15" customWidth="1"/>
    <col min="16" max="16" width="25.5703125" customWidth="1"/>
    <col min="17" max="17" width="29.85546875" customWidth="1"/>
    <col min="18" max="32" width="10.85546875" customWidth="1"/>
  </cols>
  <sheetData>
    <row r="1" spans="1:32" ht="36" customHeight="1" thickBot="1" x14ac:dyDescent="0.25">
      <c r="A1" s="1" t="s">
        <v>0</v>
      </c>
      <c r="B1" s="1" t="s">
        <v>5</v>
      </c>
      <c r="C1" s="1" t="s">
        <v>6</v>
      </c>
      <c r="D1" s="1" t="s">
        <v>14</v>
      </c>
      <c r="E1" s="1" t="s">
        <v>13</v>
      </c>
      <c r="F1" s="1" t="s">
        <v>12</v>
      </c>
      <c r="G1" s="1" t="s">
        <v>1</v>
      </c>
      <c r="H1" s="1" t="s">
        <v>2</v>
      </c>
      <c r="I1" s="1" t="s">
        <v>16</v>
      </c>
      <c r="J1" s="1" t="s">
        <v>15</v>
      </c>
      <c r="K1" s="1" t="s">
        <v>17</v>
      </c>
      <c r="L1" s="1" t="s">
        <v>18</v>
      </c>
      <c r="M1" s="1" t="s">
        <v>7</v>
      </c>
      <c r="N1" s="1" t="s">
        <v>8</v>
      </c>
      <c r="O1" s="1" t="s">
        <v>9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3</v>
      </c>
      <c r="W1" s="1" t="s">
        <v>4</v>
      </c>
      <c r="X1" s="1" t="s">
        <v>10</v>
      </c>
      <c r="Y1" s="1" t="s">
        <v>11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68</v>
      </c>
      <c r="AF1" s="1" t="s">
        <v>69</v>
      </c>
    </row>
    <row r="2" spans="1:32" ht="13.5" customHeight="1" thickTop="1" x14ac:dyDescent="0.2">
      <c r="A2" s="7" t="s">
        <v>45</v>
      </c>
      <c r="B2" s="14" t="s">
        <v>46</v>
      </c>
      <c r="C2" s="5" t="s">
        <v>47</v>
      </c>
      <c r="D2" s="3" t="s">
        <v>48</v>
      </c>
      <c r="E2" s="7" t="s">
        <v>49</v>
      </c>
      <c r="F2" s="7" t="s">
        <v>50</v>
      </c>
      <c r="G2" s="8" t="s">
        <v>51</v>
      </c>
      <c r="H2" s="8" t="s">
        <v>52</v>
      </c>
      <c r="I2" s="9" t="s">
        <v>53</v>
      </c>
      <c r="J2" s="10" t="s">
        <v>54</v>
      </c>
      <c r="K2" s="2" t="s">
        <v>55</v>
      </c>
      <c r="L2" s="11" t="s">
        <v>56</v>
      </c>
      <c r="M2" s="2" t="s">
        <v>57</v>
      </c>
      <c r="N2" s="6" t="s">
        <v>58</v>
      </c>
      <c r="O2" s="2" t="s">
        <v>59</v>
      </c>
      <c r="P2" s="4" t="s">
        <v>60</v>
      </c>
      <c r="Q2" s="4" t="s">
        <v>61</v>
      </c>
      <c r="R2" s="2" t="s">
        <v>62</v>
      </c>
      <c r="S2" s="10" t="s">
        <v>63</v>
      </c>
      <c r="T2" s="2" t="s">
        <v>64</v>
      </c>
      <c r="U2" s="4" t="s">
        <v>65</v>
      </c>
      <c r="V2" s="6" t="s">
        <v>66</v>
      </c>
      <c r="W2" s="4" t="s">
        <v>67</v>
      </c>
      <c r="X2" s="13" t="e">
        <f>-1*G2</f>
        <v>#VALUE!</v>
      </c>
      <c r="Y2" s="13" t="e">
        <f>-1*A2</f>
        <v>#VALUE!</v>
      </c>
      <c r="Z2" s="15" t="e">
        <f>($H2-$G2)/2+$G2</f>
        <v>#VALUE!</v>
      </c>
      <c r="AA2" s="16" t="e">
        <f>$H2-$G2</f>
        <v>#VALUE!</v>
      </c>
      <c r="AB2" s="16">
        <f>IF($L2&gt;200,25,IF($L2&gt;100,10,IF($L2&gt;50,6,IF($L2&gt;20,3,2))))</f>
        <v>25</v>
      </c>
      <c r="AC2" s="16">
        <f>IF($L2&gt;200,11,IF($L2&gt;100,5,IF($L2&gt;50,4,IF($L2&gt;20,3,1))))</f>
        <v>11</v>
      </c>
      <c r="AD2" s="16" t="e">
        <f>IF($AA2&gt;$AB2,$Z2-$AB2/2,IF($AA2&lt;$AC2,$Z2-$AC2/2,$G2))</f>
        <v>#VALUE!</v>
      </c>
      <c r="AE2" s="16" t="e">
        <f>IF($AD2&lt;0,0.001,$AD2)</f>
        <v>#VALUE!</v>
      </c>
      <c r="AF2" s="16" t="e">
        <f>IF($AA2&gt;$AB2,$Z2+$AB2/2,IF($AA2&lt;$AC2,$Z2+$AC2/2,H2))</f>
        <v>#VALUE!</v>
      </c>
    </row>
    <row r="3" spans="1:32" x14ac:dyDescent="0.2">
      <c r="S3" s="12"/>
    </row>
  </sheetData>
  <pageMargins left="0.75" right="0.75" top="1" bottom="1" header="0.5" footer="0.5"/>
  <pageSetup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7" customWidth="1"/>
    <col min="2" max="2" width="18.7109375" style="17" customWidth="1"/>
    <col min="3" max="3" width="32.7109375" style="17" customWidth="1"/>
    <col min="4" max="4" width="24.7109375" style="17" customWidth="1"/>
    <col min="5" max="7" width="1.7109375" style="17" customWidth="1"/>
    <col min="8" max="8" width="14.7109375" style="17" customWidth="1"/>
    <col min="9" max="9" width="11.7109375" style="17" customWidth="1"/>
    <col min="10" max="12" width="1.7109375" style="17" customWidth="1"/>
    <col min="13" max="13" width="14.7109375" style="17" customWidth="1"/>
    <col min="14" max="14" width="20.7109375" style="17" customWidth="1"/>
  </cols>
  <sheetData>
    <row r="1" spans="1:14" s="18" customFormat="1" ht="18" x14ac:dyDescent="0.25">
      <c r="A1" s="18" t="s">
        <v>30</v>
      </c>
    </row>
    <row r="3" spans="1:14" x14ac:dyDescent="0.25">
      <c r="A3" s="19" t="s">
        <v>31</v>
      </c>
    </row>
    <row r="4" spans="1:14" x14ac:dyDescent="0.25">
      <c r="A4" s="19" t="s">
        <v>32</v>
      </c>
    </row>
    <row r="5" spans="1:14" x14ac:dyDescent="0.25">
      <c r="A5" s="19" t="s">
        <v>33</v>
      </c>
    </row>
    <row r="8" spans="1:14" x14ac:dyDescent="0.25">
      <c r="A8" s="19" t="s">
        <v>34</v>
      </c>
      <c r="B8" s="19"/>
      <c r="C8" s="19"/>
      <c r="D8" s="19"/>
      <c r="H8" s="19" t="s">
        <v>35</v>
      </c>
      <c r="I8" s="19"/>
      <c r="M8" s="19" t="s">
        <v>36</v>
      </c>
      <c r="N8" s="19"/>
    </row>
    <row r="9" spans="1:14" ht="30" x14ac:dyDescent="0.25">
      <c r="A9" s="20" t="s">
        <v>37</v>
      </c>
      <c r="B9" s="20" t="s">
        <v>38</v>
      </c>
      <c r="C9" s="20" t="s">
        <v>39</v>
      </c>
      <c r="D9" s="20" t="s">
        <v>40</v>
      </c>
      <c r="H9" s="20" t="s">
        <v>41</v>
      </c>
      <c r="I9" s="20" t="s">
        <v>42</v>
      </c>
      <c r="M9" s="20" t="s">
        <v>43</v>
      </c>
      <c r="N9" s="20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maplips</vt:lpstr>
      <vt:lpstr>&lt;#Config&gt;</vt:lpstr>
      <vt:lpstr>__cdsChartMapLIPs__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Eglington, Bruce</dc:creator>
  <cp:lastModifiedBy>bre255</cp:lastModifiedBy>
  <dcterms:created xsi:type="dcterms:W3CDTF">2020-03-19T23:08:04Z</dcterms:created>
  <dcterms:modified xsi:type="dcterms:W3CDTF">2020-09-15T21:45:41Z</dcterms:modified>
</cp:coreProperties>
</file>