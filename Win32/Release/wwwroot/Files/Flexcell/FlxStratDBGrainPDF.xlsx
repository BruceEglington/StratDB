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79B06A4E-F05B-4B92-B67A-4602590EB8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DF Data" sheetId="1" r:id="rId1"/>
    <sheet name="Graph" sheetId="2" r:id="rId2"/>
    <sheet name="&lt;#Config&gt;" sheetId="3" r:id="rId3"/>
  </sheets>
  <definedNames>
    <definedName name="__cdsUserUnitGrainAgePDF__">'PDF Data'!$A$2:$T$2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" i="1" l="1"/>
  <c r="S2" i="1"/>
  <c r="R2" i="1"/>
  <c r="Q2" i="1"/>
  <c r="P2" i="1"/>
  <c r="O2" i="1"/>
  <c r="N2" i="1"/>
  <c r="M2" i="1"/>
  <c r="L2" i="1"/>
  <c r="K2" i="1"/>
  <c r="J2" i="1"/>
  <c r="T1" i="1"/>
  <c r="S1" i="1"/>
  <c r="R1" i="1"/>
  <c r="Q1" i="1"/>
  <c r="P1" i="1"/>
</calcChain>
</file>

<file path=xl/sharedStrings.xml><?xml version="1.0" encoding="utf-8"?>
<sst xmlns="http://schemas.openxmlformats.org/spreadsheetml/2006/main" count="33" uniqueCount="33">
  <si>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</si>
  <si>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</si>
  <si>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</si>
  <si>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</si>
  <si>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</si>
  <si>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</si>
  <si>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</si>
  <si>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</si>
  <si>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</si>
  <si>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</si>
  <si>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</si>
  <si>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</si>
  <si>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</si>
  <si>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</si>
  <si>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</si>
  <si>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ProjectID</t>
  </si>
  <si>
    <t>UnitID</t>
  </si>
  <si>
    <t>UnitName</t>
  </si>
  <si>
    <t>UnitRank</t>
  </si>
  <si>
    <t>UnitAgeMa</t>
  </si>
  <si>
    <t>StepNo</t>
  </si>
  <si>
    <t>FieldAssoc</t>
  </si>
  <si>
    <t>GrainAgeMa</t>
  </si>
  <si>
    <t>PDFValue</t>
  </si>
  <si>
    <t>&lt;#cdsUserUnitGrainAgePDF.PROJECTID&gt;</t>
  </si>
  <si>
    <t>&lt;#cdsUserUnitGrainAgePDF.UNITID&gt;</t>
  </si>
  <si>
    <t>&lt;#cdsUserUnitGrainAgePDF.STRATDBUNITNAME&gt;</t>
  </si>
  <si>
    <t>&lt;#cdsUserUnitGrainAgePDF.STRATDBUNITRANK&gt;</t>
  </si>
  <si>
    <t>&lt;#cdsUserUnitGrainAgePDF.STRATDBUNITAGE&gt;</t>
  </si>
  <si>
    <t>&lt;#cdsUserUnitGrainAgePDF.STEPNO&gt;</t>
  </si>
  <si>
    <t>&lt;#cdsUserUnitGrainAgePDF.REGASSOCID&gt;</t>
  </si>
  <si>
    <t>&lt;#cdsUserUnitGrainAgePDF.PDFAGE&gt;</t>
  </si>
  <si>
    <t>&lt;#cdsUserUnitGrainAgePDF.PDFVALUE&gt;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</si>
</sst>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3" fillId="0" borderId="0" xfId="0" applyFont="1"/>
    <xf numFmtId="0" fontId="5" fillId="3" borderId="0" xfId="0" applyFont="1" applyFill="1"/>
    <xf numFmtId="0" fontId="3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'PDF Data'!$P$1</c:f>
              <c:strCache>
                <c:ptCount val="1"/>
                <c:pt idx="0">
                  <c:v>0.1=&lt; p &lt;10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strRef>
              <c:f>'PDF Data'!$H$2:$H$3</c:f>
              <c:strCache>
                <c:ptCount val="1"/>
                <c:pt idx="0">
                  <c:v>&lt;#cdsUserUnitGrainAgePDF.PDFAGE&gt;</c:v>
                </c:pt>
              </c:strCache>
            </c:strRef>
          </c:xVal>
          <c:yVal>
            <c:numRef>
              <c:f>'PDF Data'!$P$2:$P$3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A-4781-AC60-90F20E49C83D}"/>
            </c:ext>
          </c:extLst>
        </c:ser>
        <c:ser>
          <c:idx val="1"/>
          <c:order val="1"/>
          <c:tx>
            <c:strRef>
              <c:f>'PDF Data'!$Q$1</c:f>
              <c:strCache>
                <c:ptCount val="1"/>
                <c:pt idx="0">
                  <c:v>10=&lt; p &lt;40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strRef>
              <c:f>'PDF Data'!$H$2:$H$3</c:f>
              <c:strCache>
                <c:ptCount val="1"/>
                <c:pt idx="0">
                  <c:v>&lt;#cdsUserUnitGrainAgePDF.PDFAGE&gt;</c:v>
                </c:pt>
              </c:strCache>
            </c:strRef>
          </c:xVal>
          <c:yVal>
            <c:numRef>
              <c:f>'PDF Data'!$Q$2:$Q$3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7A-4781-AC60-90F20E49C83D}"/>
            </c:ext>
          </c:extLst>
        </c:ser>
        <c:ser>
          <c:idx val="2"/>
          <c:order val="2"/>
          <c:tx>
            <c:strRef>
              <c:f>'PDF Data'!$R$1</c:f>
              <c:strCache>
                <c:ptCount val="1"/>
                <c:pt idx="0">
                  <c:v>40=&lt; p &lt;60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1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strRef>
              <c:f>'PDF Data'!$H$2:$H$3</c:f>
              <c:strCache>
                <c:ptCount val="1"/>
                <c:pt idx="0">
                  <c:v>&lt;#cdsUserUnitGrainAgePDF.PDFAGE&gt;</c:v>
                </c:pt>
              </c:strCache>
            </c:strRef>
          </c:xVal>
          <c:yVal>
            <c:numRef>
              <c:f>'PDF Data'!$R$2:$R$3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7A-4781-AC60-90F20E49C83D}"/>
            </c:ext>
          </c:extLst>
        </c:ser>
        <c:ser>
          <c:idx val="3"/>
          <c:order val="3"/>
          <c:tx>
            <c:strRef>
              <c:f>'PDF Data'!$S$1</c:f>
              <c:strCache>
                <c:ptCount val="1"/>
                <c:pt idx="0">
                  <c:v>60=&lt; p &lt;80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1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'PDF Data'!$H$2:$H$3</c:f>
              <c:strCache>
                <c:ptCount val="1"/>
                <c:pt idx="0">
                  <c:v>&lt;#cdsUserUnitGrainAgePDF.PDFAGE&gt;</c:v>
                </c:pt>
              </c:strCache>
            </c:strRef>
          </c:xVal>
          <c:yVal>
            <c:numRef>
              <c:f>'PDF Data'!$S$2:$S$3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7A-4781-AC60-90F20E49C83D}"/>
            </c:ext>
          </c:extLst>
        </c:ser>
        <c:ser>
          <c:idx val="4"/>
          <c:order val="4"/>
          <c:tx>
            <c:strRef>
              <c:f>'PDF Data'!$T$1</c:f>
              <c:strCache>
                <c:ptCount val="1"/>
                <c:pt idx="0">
                  <c:v>80=&lt; p &lt;100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2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'PDF Data'!$H$2:$H$3</c:f>
              <c:strCache>
                <c:ptCount val="1"/>
                <c:pt idx="0">
                  <c:v>&lt;#cdsUserUnitGrainAgePDF.PDFAGE&gt;</c:v>
                </c:pt>
              </c:strCache>
            </c:strRef>
          </c:xVal>
          <c:yVal>
            <c:numRef>
              <c:f>'PDF Data'!$T$2:$T$3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7A-4781-AC60-90F20E49C83D}"/>
            </c:ext>
          </c:extLst>
        </c:ser>
        <c:ser>
          <c:idx val="5"/>
          <c:order val="5"/>
          <c:tx>
            <c:v>Equal age</c:v>
          </c:tx>
          <c:spPr>
            <a:ln w="28575">
              <a:noFill/>
            </a:ln>
          </c:spPr>
          <c:marker>
            <c:symbol val="dot"/>
            <c:size val="2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c:spPr>
          </c:marker>
          <c:xVal>
            <c:strRef>
              <c:f>'PDF Data'!$H$2:$H$3</c:f>
              <c:strCache>
                <c:ptCount val="1"/>
                <c:pt idx="0">
                  <c:v>&lt;#cdsUserUnitGrainAgePDF.PDFAGE&gt;</c:v>
                </c:pt>
              </c:strCache>
            </c:strRef>
          </c:xVal>
          <c:yVal>
            <c:numRef>
              <c:f>'PDF Data'!$H$2:$H$3</c:f>
              <c:numCache>
                <c:formatCode>General</c:formatCode>
                <c:ptCount val="2"/>
                <c:pt idx="0" formatCode="0.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7A-4781-AC60-90F20E49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337056"/>
        <c:axId val="1"/>
      </c:scatterChart>
      <c:valAx>
        <c:axId val="39833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Grain Age (Ma)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Unit Age (Ma)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9833705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409575</xdr:colOff>
      <xdr:row>44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BBB68AFC-4A12-4481-A7DC-94892A9E5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5.42578125" customWidth="1"/>
    <col min="3" max="3" width="16.5703125" customWidth="1"/>
    <col min="4" max="9" width="15.7109375" customWidth="1"/>
    <col min="10" max="11" width="10.85546875" customWidth="1"/>
    <col min="12" max="12" width="12.140625" customWidth="1"/>
    <col min="13" max="13" width="11.140625" customWidth="1"/>
    <col min="14" max="14" width="11.5703125" customWidth="1"/>
    <col min="15" max="15" width="15.7109375" customWidth="1"/>
    <col min="16" max="16" width="13" customWidth="1"/>
    <col min="17" max="17" width="12" customWidth="1"/>
    <col min="18" max="18" width="10.7109375" customWidth="1"/>
    <col min="19" max="19" width="11.42578125" customWidth="1"/>
    <col min="20" max="20" width="11.5703125" customWidth="1"/>
  </cols>
  <sheetData>
    <row r="1" spans="1:20" ht="26.25" thickBo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>
        <v>0.1</v>
      </c>
      <c r="K1" s="1">
        <v>10</v>
      </c>
      <c r="L1" s="1">
        <v>40</v>
      </c>
      <c r="M1" s="1">
        <v>60</v>
      </c>
      <c r="N1" s="1">
        <v>80</v>
      </c>
      <c r="O1" s="1">
        <v>100</v>
      </c>
      <c r="P1" s="1" t="str">
        <f>CONCATENATE(J1,"=&lt; p &lt;",K1)</f>
        <v>0.1=&lt; p &lt;10</v>
      </c>
      <c r="Q1" s="1" t="str">
        <f>CONCATENATE(K1,"=&lt; p &lt;",L1)</f>
        <v>10=&lt; p &lt;40</v>
      </c>
      <c r="R1" s="1" t="str">
        <f>CONCATENATE(L1,"=&lt; p &lt;",M1)</f>
        <v>40=&lt; p &lt;60</v>
      </c>
      <c r="S1" s="1" t="str">
        <f>CONCATENATE(M1,"=&lt; p &lt;",N1)</f>
        <v>60=&lt; p &lt;80</v>
      </c>
      <c r="T1" s="1" t="str">
        <f>CONCATENATE(N1,"=&lt; p &lt;",O1)</f>
        <v>80=&lt; p &lt;100</v>
      </c>
    </row>
    <row r="2" spans="1:20" ht="13.5" thickTop="1" x14ac:dyDescent="0.2">
      <c r="A2" s="4" t="s">
        <v>24</v>
      </c>
      <c r="B2" s="6" t="s">
        <v>25</v>
      </c>
      <c r="C2" s="3" t="s">
        <v>26</v>
      </c>
      <c r="D2" s="5" t="s">
        <v>27</v>
      </c>
      <c r="E2" s="2" t="s">
        <v>28</v>
      </c>
      <c r="F2" s="8" t="s">
        <v>29</v>
      </c>
      <c r="G2" s="9" t="s">
        <v>30</v>
      </c>
      <c r="H2" s="2" t="s">
        <v>31</v>
      </c>
      <c r="I2" s="7" t="s">
        <v>32</v>
      </c>
      <c r="J2" s="7" t="str">
        <f>IF(I2&gt;$J$1,I2,"")</f>
        <v>&lt;#cdsUserUnitGrainAgePDF.PDFVALUE&gt;</v>
      </c>
      <c r="K2" s="7" t="str">
        <f>IF($I2&lt;=K$1,IF($I2&gt;J$1,$I2,""),"")</f>
        <v/>
      </c>
      <c r="L2" s="7" t="str">
        <f>IF($I2&lt;=L$1,IF($I2&gt;K$1,$I2,""),"")</f>
        <v/>
      </c>
      <c r="M2" s="7" t="str">
        <f>IF($I2&lt;=M$1,IF($I2&gt;L$1,$I2,""),"")</f>
        <v/>
      </c>
      <c r="N2" s="7" t="str">
        <f>IF($I2&lt;=N$1,IF($I2&gt;M$1,$I2,""),"")</f>
        <v/>
      </c>
      <c r="O2" s="7" t="str">
        <f>IF($I2&lt;=O$1,IF($I2&gt;N$1,$I2,""),"")</f>
        <v/>
      </c>
      <c r="P2" s="7" t="str">
        <f>IF($I2&lt;=K$1,IF($I2&gt;J$1,$E2,""),"")</f>
        <v/>
      </c>
      <c r="Q2" s="7" t="str">
        <f>IF($I2&lt;=L$1,IF($I2&gt;K$1,$E2,""),"")</f>
        <v/>
      </c>
      <c r="R2" s="7" t="str">
        <f>IF($I2&lt;=M$1,IF($I2&gt;L$1,$E2,""),"")</f>
        <v/>
      </c>
      <c r="S2" s="7" t="str">
        <f>IF($I2&lt;=N$1,IF($I2&gt;M$1,$E2,""),"")</f>
        <v/>
      </c>
      <c r="T2" s="7" t="str">
        <f>IF($I2&lt;=O$1,IF($I2&gt;N$1,$E2,""),"")</f>
        <v/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0</v>
      </c>
    </row>
    <row r="3" spans="1:14" x14ac:dyDescent="0.25">
      <c r="A3" s="12" t="s">
        <v>1</v>
      </c>
    </row>
    <row r="4" spans="1:14" x14ac:dyDescent="0.25">
      <c r="A4" s="12" t="s">
        <v>2</v>
      </c>
    </row>
    <row r="5" spans="1:14" x14ac:dyDescent="0.25">
      <c r="A5" s="12" t="s">
        <v>3</v>
      </c>
    </row>
    <row r="8" spans="1:14" x14ac:dyDescent="0.25">
      <c r="A8" s="12" t="s">
        <v>4</v>
      </c>
      <c r="B8" s="12"/>
      <c r="C8" s="12"/>
      <c r="D8" s="12"/>
      <c r="H8" s="12" t="s">
        <v>5</v>
      </c>
      <c r="I8" s="12"/>
      <c r="M8" s="12" t="s">
        <v>6</v>
      </c>
      <c r="N8" s="12"/>
    </row>
    <row r="9" spans="1:14" ht="30" x14ac:dyDescent="0.25">
      <c r="A9" s="13" t="s">
        <v>7</v>
      </c>
      <c r="B9" s="13" t="s">
        <v>8</v>
      </c>
      <c r="C9" s="13" t="s">
        <v>9</v>
      </c>
      <c r="D9" s="13" t="s">
        <v>10</v>
      </c>
      <c r="H9" s="13" t="s">
        <v>11</v>
      </c>
      <c r="I9" s="13" t="s">
        <v>12</v>
      </c>
      <c r="M9" s="13" t="s">
        <v>13</v>
      </c>
      <c r="N9" s="1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PDF Data</vt:lpstr>
      <vt:lpstr>Graph</vt:lpstr>
      <vt:lpstr>&lt;#Config&gt;</vt:lpstr>
      <vt:lpstr>__cdsUserUnitGrainAgePDF__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2020-03-19T23:08:03Z</dcterms:created>
  <dcterms:modified xsi:type="dcterms:W3CDTF">2020-09-17T19:34:59Z</dcterms:modified>
</cp:coreProperties>
</file>