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489C6636-A814-4638-BA6C-8EBE82B12A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lipprovincedates" sheetId="1" r:id="rId1"/>
    <sheet name="&lt;#Config&gt;" sheetId="2" r:id="rId2"/>
  </sheets>
  <definedNames>
    <definedName name="__cdsDVLIPDomainDatesProvinces__">timespacelipprovincedates!$A$2:$Y$2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sharedStrings.xml><?xml version="1.0" encoding="utf-8"?>
<sst xmlns="http://schemas.openxmlformats.org/spreadsheetml/2006/main" count="62" uniqueCount="62">
  <si>
    <t>DomainOrder</t>
  </si>
  <si>
    <t>DomainID</t>
  </si>
  <si>
    <t>RecordID</t>
  </si>
  <si>
    <t>CountryID</t>
  </si>
  <si>
    <t>UnitName</t>
  </si>
  <si>
    <t>IsotopeSystemID</t>
  </si>
  <si>
    <t>Lithology</t>
  </si>
  <si>
    <t>MaterialAbr</t>
  </si>
  <si>
    <t>ApproachAbr</t>
  </si>
  <si>
    <t>TechAbr</t>
  </si>
  <si>
    <t>InterpAbr</t>
  </si>
  <si>
    <t>Rating</t>
  </si>
  <si>
    <t>RAge</t>
  </si>
  <si>
    <t>RAgePError</t>
  </si>
  <si>
    <t>RAgeMError</t>
  </si>
  <si>
    <t>DomainXMin</t>
  </si>
  <si>
    <t>DomainXMax</t>
  </si>
  <si>
    <t>AgeUnits</t>
  </si>
  <si>
    <t>X</t>
  </si>
  <si>
    <t>Y</t>
  </si>
  <si>
    <t>DateStr</t>
  </si>
  <si>
    <t>DomainName</t>
  </si>
  <si>
    <t>UnitID</t>
  </si>
  <si>
    <t>LIPID</t>
  </si>
  <si>
    <t>LIPName</t>
  </si>
  <si>
    <t>&lt;#cdsDVLIPDomainDatesProvinces.DOMAINORDER&gt;</t>
  </si>
  <si>
    <t>&lt;#cdsDVLIPDomainDatesProvinces.DOMAINID&gt;</t>
  </si>
  <si>
    <t>&lt;#cdsDVLIPDomainDatesProvinces.DOMAINNAME&gt;</t>
  </si>
  <si>
    <t>&lt;#cdsDVLIPDomainDatesProvinces.LIPID&gt;</t>
  </si>
  <si>
    <t>&lt;#cdsDVLIPDomainDatesProvinces.LIPNAME&gt;</t>
  </si>
  <si>
    <t>&lt;#cdsDVLIPDomainDatesProvinces.COUNTRYABR&gt;</t>
  </si>
  <si>
    <t>&lt;#cdsDVLIPDomainDatesProvinces.RECORDID&gt;</t>
  </si>
  <si>
    <t>&lt;#cdsDVLIPDomainDatesProvinces.UNITID&gt;</t>
  </si>
  <si>
    <t>&lt;#cdsDVLIPDomainDatesProvinces.UNITNAME&gt;</t>
  </si>
  <si>
    <t>&lt;#cdsDVLIPDomainDatesProvinces.LITHOLOGY&gt;</t>
  </si>
  <si>
    <t>&lt;#cdsDVLIPDomainDatesProvinces.ISOTOPESYSTEM&gt;</t>
  </si>
  <si>
    <t>&lt;#cdsDVLIPDomainDatesProvinces.MATERIALABR&gt;</t>
  </si>
  <si>
    <t>&lt;#cdsDVLIPDomainDatesProvinces.APPROACHABR&gt;</t>
  </si>
  <si>
    <t>&lt;#cdsDVLIPDomainDatesProvinces.TECHABR&gt;</t>
  </si>
  <si>
    <t>&lt;#cdsDVLIPDomainDatesProvinces.INTERPABR&gt;</t>
  </si>
  <si>
    <t>&lt;#cdsDVLIPDomainDatesProvinces.PREFLEVEL&gt;</t>
  </si>
  <si>
    <t>&lt;#cdsDVLIPDomainDatesProvinces.RAGE&gt;</t>
  </si>
  <si>
    <t>&lt;#cdsDVLIPDomainDatesProvinces.RAGEPERROR&gt;</t>
  </si>
  <si>
    <t>&lt;#cdsDVLIPDomainDatesProvinces.RAGEMERROR&gt;</t>
  </si>
  <si>
    <t>&lt;#cdsDVLIPDomainDatesProvinces.AGEUNITS&gt;</t>
  </si>
  <si>
    <t>&lt;#cdsDVLIPDomainDatesProvinces.DOMAINXMIN&gt;</t>
  </si>
  <si>
    <t>&lt;#cdsDVLIPDomainDatesProvinces.DOMAINXMAX&gt;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</si>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</sst>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zoomScale="75" workbookViewId="0"/>
  </sheetViews>
  <sheetFormatPr defaultColWidth="9.140625" defaultRowHeight="12.75" x14ac:dyDescent="0.2"/>
  <cols>
    <col min="1" max="1" width="12.42578125" customWidth="1"/>
    <col min="2" max="5" width="12.5703125" customWidth="1"/>
    <col min="6" max="6" width="11.28515625" customWidth="1"/>
    <col min="7" max="8" width="12.42578125" customWidth="1"/>
    <col min="9" max="9" width="29.28515625" customWidth="1"/>
    <col min="10" max="10" width="20" customWidth="1"/>
    <col min="11" max="11" width="14.7109375" customWidth="1"/>
    <col min="12" max="24" width="12.42578125" customWidth="1"/>
    <col min="25" max="25" width="14.42578125" customWidth="1"/>
  </cols>
  <sheetData>
    <row r="1" spans="1:25" ht="26.25" thickBot="1" x14ac:dyDescent="0.25">
      <c r="A1" s="1" t="s">
        <v>0</v>
      </c>
      <c r="B1" s="1" t="s">
        <v>1</v>
      </c>
      <c r="C1" s="1" t="s">
        <v>21</v>
      </c>
      <c r="D1" s="1" t="s">
        <v>23</v>
      </c>
      <c r="E1" s="1" t="s">
        <v>24</v>
      </c>
      <c r="F1" s="1" t="s">
        <v>3</v>
      </c>
      <c r="G1" s="1" t="s">
        <v>2</v>
      </c>
      <c r="H1" s="1" t="s">
        <v>22</v>
      </c>
      <c r="I1" s="1" t="s">
        <v>4</v>
      </c>
      <c r="J1" s="1" t="s">
        <v>6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17</v>
      </c>
      <c r="U1" s="1" t="s">
        <v>15</v>
      </c>
      <c r="V1" s="1" t="s">
        <v>16</v>
      </c>
      <c r="W1" s="1" t="s">
        <v>18</v>
      </c>
      <c r="X1" s="1" t="s">
        <v>19</v>
      </c>
      <c r="Y1" s="1" t="s">
        <v>20</v>
      </c>
    </row>
    <row r="2" spans="1:25" ht="13.5" thickTop="1" x14ac:dyDescent="0.2">
      <c r="A2" s="4" t="s">
        <v>25</v>
      </c>
      <c r="B2" s="4" t="s">
        <v>26</v>
      </c>
      <c r="C2" s="5" t="s">
        <v>27</v>
      </c>
      <c r="D2" s="4" t="s">
        <v>28</v>
      </c>
      <c r="E2" s="5" t="s">
        <v>29</v>
      </c>
      <c r="F2" s="2" t="s">
        <v>30</v>
      </c>
      <c r="G2" s="6" t="s">
        <v>31</v>
      </c>
      <c r="H2" s="6" t="s">
        <v>32</v>
      </c>
      <c r="I2" s="5" t="s">
        <v>33</v>
      </c>
      <c r="J2" s="5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4" t="s">
        <v>40</v>
      </c>
      <c r="Q2" s="7" t="s">
        <v>41</v>
      </c>
      <c r="R2" s="7" t="s">
        <v>42</v>
      </c>
      <c r="S2" s="7" t="s">
        <v>43</v>
      </c>
      <c r="T2" s="2" t="s">
        <v>44</v>
      </c>
      <c r="U2" s="6" t="s">
        <v>45</v>
      </c>
      <c r="V2" s="6" t="s">
        <v>46</v>
      </c>
      <c r="W2" s="6" t="e">
        <f>U2+3</f>
        <v>#VALUE!</v>
      </c>
      <c r="X2" s="6" t="e">
        <f>-1*Q2</f>
        <v>#VALUE!</v>
      </c>
      <c r="Y2" s="3" t="e">
        <f>CONCATENATE("DV",10000000000*A2,G2)</f>
        <v>#VALUE!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" x14ac:dyDescent="0.25">
      <c r="A1" s="9" t="s">
        <v>47</v>
      </c>
    </row>
    <row r="3" spans="1:14" x14ac:dyDescent="0.25">
      <c r="A3" s="10" t="s">
        <v>48</v>
      </c>
    </row>
    <row r="4" spans="1:14" x14ac:dyDescent="0.25">
      <c r="A4" s="10" t="s">
        <v>49</v>
      </c>
    </row>
    <row r="5" spans="1:14" x14ac:dyDescent="0.25">
      <c r="A5" s="10" t="s">
        <v>50</v>
      </c>
    </row>
    <row r="8" spans="1:14" x14ac:dyDescent="0.25">
      <c r="A8" s="10" t="s">
        <v>51</v>
      </c>
      <c r="B8" s="10"/>
      <c r="C8" s="10"/>
      <c r="D8" s="10"/>
      <c r="H8" s="10" t="s">
        <v>52</v>
      </c>
      <c r="I8" s="10"/>
      <c r="M8" s="10" t="s">
        <v>53</v>
      </c>
      <c r="N8" s="10"/>
    </row>
    <row r="9" spans="1:14" ht="30" x14ac:dyDescent="0.25">
      <c r="A9" s="11" t="s">
        <v>54</v>
      </c>
      <c r="B9" s="11" t="s">
        <v>55</v>
      </c>
      <c r="C9" s="11" t="s">
        <v>56</v>
      </c>
      <c r="D9" s="11" t="s">
        <v>57</v>
      </c>
      <c r="H9" s="11" t="s">
        <v>58</v>
      </c>
      <c r="I9" s="11" t="s">
        <v>59</v>
      </c>
      <c r="M9" s="11" t="s">
        <v>60</v>
      </c>
      <c r="N9" s="1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timespacelipprovincedates</vt:lpstr>
      <vt:lpstr>&lt;#Config&gt;</vt:lpstr>
      <vt:lpstr>__cdsDVLIPDomainDatesProvinces__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2020-09-15T21:49:14Z</dcterms:modified>
</cp:coreProperties>
</file>