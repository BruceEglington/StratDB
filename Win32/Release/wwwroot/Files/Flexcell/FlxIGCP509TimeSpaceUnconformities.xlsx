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64C2BD5-C011-442E-9405-3CE9D69066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unconformities" sheetId="1" r:id="rId1"/>
    <sheet name="&lt;#Config&gt;" sheetId="2" r:id="rId2"/>
  </sheets>
  <definedNames>
    <definedName name="__cdsUnconformities__">unconformities!$A$2:$AA$3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1" l="1"/>
  <c r="T3" i="1"/>
  <c r="S3" i="1"/>
  <c r="R3" i="1"/>
  <c r="Q3" i="1"/>
  <c r="P3" i="1"/>
  <c r="O3" i="1"/>
  <c r="N3" i="1"/>
  <c r="M3" i="1"/>
  <c r="L3" i="1"/>
  <c r="K3" i="1"/>
  <c r="J3" i="1"/>
  <c r="I3" i="1"/>
  <c r="H3" i="1"/>
  <c r="X3" i="1" s="1"/>
  <c r="G3" i="1"/>
  <c r="F3" i="1"/>
  <c r="E3" i="1"/>
  <c r="C3" i="1"/>
  <c r="B3" i="1"/>
  <c r="A3" i="1"/>
  <c r="Z2" i="1"/>
  <c r="Z3" i="1" s="1"/>
  <c r="Y2" i="1"/>
  <c r="Y3" i="1" s="1"/>
  <c r="X2" i="1"/>
  <c r="W2" i="1"/>
  <c r="V2" i="1"/>
  <c r="V3" i="1" s="1"/>
  <c r="U2" i="1"/>
  <c r="U3" i="1" s="1"/>
  <c r="AA2" i="1" l="1"/>
  <c r="AA3" i="1" s="1"/>
</calcChain>
</file>

<file path=xl/sharedStrings.xml><?xml version="1.0" encoding="utf-8"?>
<sst xmlns="http://schemas.openxmlformats.org/spreadsheetml/2006/main" count="61" uniqueCount="61">
  <si>
    <t>X</t>
  </si>
  <si>
    <t>Y</t>
  </si>
  <si>
    <t>i</t>
  </si>
  <si>
    <t>ChartID</t>
  </si>
  <si>
    <t>DomainOrder</t>
  </si>
  <si>
    <t>UnitID</t>
  </si>
  <si>
    <t>PointID</t>
  </si>
  <si>
    <t>DomainID</t>
  </si>
  <si>
    <t>ChartOffset</t>
  </si>
  <si>
    <t>UnitOffset</t>
  </si>
  <si>
    <t>MaximumAge</t>
  </si>
  <si>
    <t>RankWidth</t>
  </si>
  <si>
    <t>AgeYears</t>
  </si>
  <si>
    <t>UnitName</t>
  </si>
  <si>
    <t>UnitRank</t>
  </si>
  <si>
    <t>DomainName</t>
  </si>
  <si>
    <t>Z</t>
  </si>
  <si>
    <t>IncludeForChart</t>
  </si>
  <si>
    <t>DomainXMin</t>
  </si>
  <si>
    <t>AgeConstraintLevelID</t>
  </si>
  <si>
    <t>AgeConstraintLevel</t>
  </si>
  <si>
    <t>PrecededBy</t>
  </si>
  <si>
    <t>PreRel</t>
  </si>
  <si>
    <t>Relationship</t>
  </si>
  <si>
    <t>Unconf</t>
  </si>
  <si>
    <t>UnconfStr</t>
  </si>
  <si>
    <t>UnconfCode</t>
  </si>
  <si>
    <t>&lt;#cdsUnconformities.CHARTID&gt;</t>
  </si>
  <si>
    <t>&lt;#cdsUnconformities.DOMAINORDER&gt;</t>
  </si>
  <si>
    <t>&lt;#cdsUnconformities.UNITID&gt;</t>
  </si>
  <si>
    <t>&lt;#cdsUnconformities.DOMAINID&gt;</t>
  </si>
  <si>
    <t>&lt;#cdsUnconformities.CHARTOFFSET_MM&gt;</t>
  </si>
  <si>
    <t>&lt;#cdsUnconformities.DOMAINXMIN&gt;</t>
  </si>
  <si>
    <t>&lt;#cdsUnconformities.UNITOFFSET_MM&gt;</t>
  </si>
  <si>
    <t>&lt;#cdsUnconformities.MAXAGE&gt;</t>
  </si>
  <si>
    <t>&lt;#cdsUnconformities.RANKWIDTH&gt;</t>
  </si>
  <si>
    <t>&lt;#cdsUnconformities.AGEYEARS&gt;</t>
  </si>
  <si>
    <t>&lt;#cdsUnconformities.UNITNAME&gt;</t>
  </si>
  <si>
    <t>&lt;#cdsUnconformities.UNITRANK&gt;</t>
  </si>
  <si>
    <t>&lt;#cdsUnconformities.INC4CHTYN&gt;</t>
  </si>
  <si>
    <t>&lt;#cdsUnconformities.DOMAINNAME&gt;</t>
  </si>
  <si>
    <t>&lt;#cdsUnconformities.PRECEDEDBY&gt;</t>
  </si>
  <si>
    <t>&lt;#cdsUnconformities.PREREL&gt;</t>
  </si>
  <si>
    <t>&lt;#cdsUnconformities.RELATIONSHIP&gt;</t>
  </si>
  <si>
    <t>&lt;#cdsUnconformities.CONSTRAINTLEVELID&gt;</t>
  </si>
  <si>
    <t>&lt;#cdsUnconformities.AGECONSTRAINTLEVEL&gt;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</si>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</sst>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6" fontId="1" fillId="0" borderId="0" xfId="0" applyNumberFormat="1" applyFont="1" applyAlignment="1"/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8.85546875" customWidth="1"/>
    <col min="2" max="2" width="8.5703125" customWidth="1"/>
    <col min="3" max="3" width="12.85546875" customWidth="1"/>
    <col min="4" max="4" width="8.5703125" customWidth="1"/>
    <col min="5" max="5" width="11.42578125" customWidth="1"/>
    <col min="6" max="6" width="14" customWidth="1"/>
    <col min="7" max="7" width="15" customWidth="1"/>
    <col min="8" max="8" width="13" customWidth="1"/>
    <col min="9" max="9" width="10.85546875" customWidth="1"/>
    <col min="10" max="10" width="12.140625" customWidth="1"/>
    <col min="11" max="11" width="15.42578125" customWidth="1"/>
    <col min="12" max="12" width="21.5703125" customWidth="1"/>
    <col min="13" max="13" width="12.7109375" customWidth="1"/>
    <col min="14" max="14" width="9.85546875" customWidth="1"/>
    <col min="15" max="15" width="21.5703125" customWidth="1"/>
    <col min="16" max="16" width="14.85546875" customWidth="1"/>
    <col min="17" max="17" width="11.42578125" customWidth="1"/>
    <col min="18" max="18" width="20.42578125" customWidth="1"/>
    <col min="19" max="19" width="10.85546875" customWidth="1"/>
    <col min="20" max="20" width="18.85546875" customWidth="1"/>
    <col min="21" max="22" width="12.85546875" customWidth="1"/>
    <col min="23" max="23" width="4.5703125" customWidth="1"/>
    <col min="24" max="24" width="9.28515625" bestFit="1" customWidth="1"/>
    <col min="25" max="25" width="10.42578125" bestFit="1" customWidth="1"/>
    <col min="26" max="27" width="10.42578125" customWidth="1"/>
  </cols>
  <sheetData>
    <row r="1" spans="1:27" ht="36" customHeight="1" thickBo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17</v>
      </c>
      <c r="O1" s="1" t="s">
        <v>15</v>
      </c>
      <c r="P1" s="1" t="s">
        <v>21</v>
      </c>
      <c r="Q1" s="1" t="s">
        <v>22</v>
      </c>
      <c r="R1" s="1" t="s">
        <v>23</v>
      </c>
      <c r="S1" s="1" t="s">
        <v>19</v>
      </c>
      <c r="T1" s="1" t="s">
        <v>20</v>
      </c>
      <c r="U1" s="1" t="s">
        <v>24</v>
      </c>
      <c r="V1" s="1" t="s">
        <v>26</v>
      </c>
      <c r="W1" s="1" t="s">
        <v>2</v>
      </c>
      <c r="X1" s="1" t="s">
        <v>0</v>
      </c>
      <c r="Y1" s="1" t="s">
        <v>1</v>
      </c>
      <c r="Z1" s="1" t="s">
        <v>16</v>
      </c>
      <c r="AA1" s="1" t="s">
        <v>25</v>
      </c>
    </row>
    <row r="2" spans="1:27" ht="13.5" customHeight="1" thickTop="1" x14ac:dyDescent="0.2">
      <c r="A2" s="2" t="s">
        <v>27</v>
      </c>
      <c r="B2" s="2" t="s">
        <v>28</v>
      </c>
      <c r="C2" s="7" t="s">
        <v>29</v>
      </c>
      <c r="D2" s="2">
        <v>1</v>
      </c>
      <c r="E2" s="7" t="s">
        <v>30</v>
      </c>
      <c r="F2" s="7" t="s">
        <v>31</v>
      </c>
      <c r="G2" s="7" t="s">
        <v>32</v>
      </c>
      <c r="H2" s="7" t="s">
        <v>33</v>
      </c>
      <c r="I2" s="8" t="s">
        <v>34</v>
      </c>
      <c r="J2" s="7" t="s">
        <v>35</v>
      </c>
      <c r="K2" s="9" t="s">
        <v>36</v>
      </c>
      <c r="L2" s="3" t="s">
        <v>37</v>
      </c>
      <c r="M2" s="3" t="s">
        <v>38</v>
      </c>
      <c r="N2" s="10" t="s">
        <v>39</v>
      </c>
      <c r="O2" s="3" t="s">
        <v>40</v>
      </c>
      <c r="P2" s="6" t="s">
        <v>41</v>
      </c>
      <c r="Q2" s="3" t="s">
        <v>42</v>
      </c>
      <c r="R2" s="3" t="s">
        <v>43</v>
      </c>
      <c r="S2" s="5" t="s">
        <v>44</v>
      </c>
      <c r="T2" s="3" t="s">
        <v>45</v>
      </c>
      <c r="U2" s="9" t="e">
        <f>SIGN(C2)*(ABS(C2)+E2*1000000000)</f>
        <v>#VALUE!</v>
      </c>
      <c r="V2" s="6" t="str">
        <f>CONCATENATE("Unconf",J2)</f>
        <v>Unconf&lt;#cdsUnconformities.RANKWIDTH&gt;</v>
      </c>
      <c r="W2" s="12">
        <f>D2</f>
        <v>1</v>
      </c>
      <c r="X2" s="13" t="e">
        <f>F2+G2+H2</f>
        <v>#VALUE!</v>
      </c>
      <c r="Y2" s="14" t="e">
        <f>I2*-1</f>
        <v>#VALUE!</v>
      </c>
      <c r="Z2" s="14" t="e">
        <f>J2*-1</f>
        <v>#VALUE!</v>
      </c>
      <c r="AA2" s="15" t="e">
        <f>CONCATENATE("Unconf",U2)</f>
        <v>#VALUE!</v>
      </c>
    </row>
    <row r="3" spans="1:27" x14ac:dyDescent="0.2">
      <c r="A3" s="2" t="str">
        <f>A2</f>
        <v>&lt;#cdsUnconformities.CHARTID&gt;</v>
      </c>
      <c r="B3" s="2" t="str">
        <f>B2</f>
        <v>&lt;#cdsUnconformities.DOMAINORDER&gt;</v>
      </c>
      <c r="C3" s="7" t="str">
        <f>C2</f>
        <v>&lt;#cdsUnconformities.UNITID&gt;</v>
      </c>
      <c r="D3" s="2">
        <v>2</v>
      </c>
      <c r="E3" s="7" t="str">
        <f t="shared" ref="E3:V3" si="0">E2</f>
        <v>&lt;#cdsUnconformities.DOMAINID&gt;</v>
      </c>
      <c r="F3" s="7" t="str">
        <f t="shared" si="0"/>
        <v>&lt;#cdsUnconformities.CHARTOFFSET_MM&gt;</v>
      </c>
      <c r="G3" s="7" t="str">
        <f t="shared" si="0"/>
        <v>&lt;#cdsUnconformities.DOMAINXMIN&gt;</v>
      </c>
      <c r="H3" s="7" t="str">
        <f t="shared" si="0"/>
        <v>&lt;#cdsUnconformities.UNITOFFSET_MM&gt;</v>
      </c>
      <c r="I3" s="8" t="str">
        <f t="shared" si="0"/>
        <v>&lt;#cdsUnconformities.MAXAGE&gt;</v>
      </c>
      <c r="J3" s="7" t="str">
        <f t="shared" si="0"/>
        <v>&lt;#cdsUnconformities.RANKWIDTH&gt;</v>
      </c>
      <c r="K3" s="9" t="str">
        <f t="shared" si="0"/>
        <v>&lt;#cdsUnconformities.AGEYEARS&gt;</v>
      </c>
      <c r="L3" s="4" t="str">
        <f t="shared" si="0"/>
        <v>&lt;#cdsUnconformities.UNITNAME&gt;</v>
      </c>
      <c r="M3" s="4" t="str">
        <f t="shared" si="0"/>
        <v>&lt;#cdsUnconformities.UNITRANK&gt;</v>
      </c>
      <c r="N3" s="11" t="str">
        <f t="shared" si="0"/>
        <v>&lt;#cdsUnconformities.INC4CHTYN&gt;</v>
      </c>
      <c r="O3" s="4" t="str">
        <f t="shared" si="0"/>
        <v>&lt;#cdsUnconformities.DOMAINNAME&gt;</v>
      </c>
      <c r="P3" s="6" t="str">
        <f t="shared" si="0"/>
        <v>&lt;#cdsUnconformities.PRECEDEDBY&gt;</v>
      </c>
      <c r="Q3" s="4" t="str">
        <f t="shared" si="0"/>
        <v>&lt;#cdsUnconformities.PREREL&gt;</v>
      </c>
      <c r="R3" s="4" t="str">
        <f t="shared" si="0"/>
        <v>&lt;#cdsUnconformities.RELATIONSHIP&gt;</v>
      </c>
      <c r="S3" s="5" t="str">
        <f t="shared" si="0"/>
        <v>&lt;#cdsUnconformities.CONSTRAINTLEVELID&gt;</v>
      </c>
      <c r="T3" s="4" t="str">
        <f t="shared" si="0"/>
        <v>&lt;#cdsUnconformities.AGECONSTRAINTLEVEL&gt;</v>
      </c>
      <c r="U3" s="7" t="e">
        <f t="shared" si="0"/>
        <v>#VALUE!</v>
      </c>
      <c r="V3" s="4" t="str">
        <f t="shared" si="0"/>
        <v>Unconf&lt;#cdsUnconformities.RANKWIDTH&gt;</v>
      </c>
      <c r="W3" s="12">
        <f>D3</f>
        <v>2</v>
      </c>
      <c r="X3" s="13" t="e">
        <f>F3+G3+H3+J3</f>
        <v>#VALUE!</v>
      </c>
      <c r="Y3" s="14" t="e">
        <f>Y2</f>
        <v>#VALUE!</v>
      </c>
      <c r="Z3" s="9" t="e">
        <f>Z2</f>
        <v>#VALUE!</v>
      </c>
      <c r="AA3" s="4" t="e">
        <f>AA2</f>
        <v>#VALUE!</v>
      </c>
    </row>
  </sheetData>
  <pageMargins left="0.75" right="0.75" top="1" bottom="1" header="0.5" footer="0.5"/>
  <pageSetup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6" customWidth="1"/>
    <col min="2" max="2" width="18.7109375" style="16" customWidth="1"/>
    <col min="3" max="3" width="32.7109375" style="16" customWidth="1"/>
    <col min="4" max="4" width="24.7109375" style="16" customWidth="1"/>
    <col min="5" max="7" width="1.7109375" style="16" customWidth="1"/>
    <col min="8" max="8" width="14.7109375" style="16" customWidth="1"/>
    <col min="9" max="9" width="11.7109375" style="16" customWidth="1"/>
    <col min="10" max="12" width="1.7109375" style="16" customWidth="1"/>
    <col min="13" max="13" width="14.7109375" style="16" customWidth="1"/>
    <col min="14" max="14" width="20.7109375" style="16" customWidth="1"/>
  </cols>
  <sheetData>
    <row r="1" spans="1:14" s="17" customFormat="1" ht="18" x14ac:dyDescent="0.25">
      <c r="A1" s="17" t="s">
        <v>46</v>
      </c>
    </row>
    <row r="3" spans="1:14" x14ac:dyDescent="0.25">
      <c r="A3" s="18" t="s">
        <v>47</v>
      </c>
    </row>
    <row r="4" spans="1:14" x14ac:dyDescent="0.25">
      <c r="A4" s="18" t="s">
        <v>48</v>
      </c>
    </row>
    <row r="5" spans="1:14" x14ac:dyDescent="0.25">
      <c r="A5" s="18" t="s">
        <v>49</v>
      </c>
    </row>
    <row r="8" spans="1:14" x14ac:dyDescent="0.25">
      <c r="A8" s="18" t="s">
        <v>50</v>
      </c>
      <c r="B8" s="18"/>
      <c r="C8" s="18"/>
      <c r="D8" s="18"/>
      <c r="H8" s="18" t="s">
        <v>51</v>
      </c>
      <c r="I8" s="18"/>
      <c r="M8" s="18" t="s">
        <v>52</v>
      </c>
      <c r="N8" s="18"/>
    </row>
    <row r="9" spans="1:14" ht="30" x14ac:dyDescent="0.25">
      <c r="A9" s="19" t="s">
        <v>53</v>
      </c>
      <c r="B9" s="19" t="s">
        <v>54</v>
      </c>
      <c r="C9" s="19" t="s">
        <v>55</v>
      </c>
      <c r="D9" s="19" t="s">
        <v>56</v>
      </c>
      <c r="H9" s="19" t="s">
        <v>57</v>
      </c>
      <c r="I9" s="19" t="s">
        <v>58</v>
      </c>
      <c r="M9" s="19" t="s">
        <v>59</v>
      </c>
      <c r="N9" s="19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unconformities</vt:lpstr>
      <vt:lpstr>&lt;#Config&gt;</vt:lpstr>
      <vt:lpstr>__cdsUnconformities__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Eglington, Bruce</dc:creator>
  <cp:lastModifiedBy>bre255</cp:lastModifiedBy>
  <dcterms:created xsi:type="dcterms:W3CDTF">2020-03-19T23:08:04Z</dcterms:created>
  <dcterms:modified xsi:type="dcterms:W3CDTF">2020-09-15T21:49:38Z</dcterms:modified>
</cp:coreProperties>
</file>