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7F454FD5-658E-4644-90C6-5551153C23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imespacedomainheadings" sheetId="1" r:id="rId1"/>
    <sheet name="&lt;#Config&gt;" sheetId="2" r:id="rId2"/>
  </sheets>
  <definedNames>
    <definedName name="__cdsTimeSpaceDomainHeadings__">timespacedomainheadings!$A$2:$X$7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7" i="1" l="1"/>
  <c r="P7" i="1"/>
  <c r="O7" i="1"/>
  <c r="L7" i="1"/>
  <c r="K7" i="1"/>
  <c r="J7" i="1"/>
  <c r="I7" i="1"/>
  <c r="H7" i="1"/>
  <c r="G7" i="1"/>
  <c r="F7" i="1"/>
  <c r="E7" i="1"/>
  <c r="T7" i="1" s="1"/>
  <c r="D7" i="1"/>
  <c r="B7" i="1"/>
  <c r="A7" i="1"/>
  <c r="T6" i="1"/>
  <c r="S6" i="1"/>
  <c r="P6" i="1"/>
  <c r="O6" i="1"/>
  <c r="L6" i="1"/>
  <c r="K6" i="1"/>
  <c r="J6" i="1"/>
  <c r="I6" i="1"/>
  <c r="H6" i="1"/>
  <c r="G6" i="1"/>
  <c r="F6" i="1"/>
  <c r="E6" i="1"/>
  <c r="D6" i="1"/>
  <c r="B6" i="1"/>
  <c r="A6" i="1"/>
  <c r="T5" i="1"/>
  <c r="S5" i="1"/>
  <c r="P5" i="1"/>
  <c r="O5" i="1"/>
  <c r="L5" i="1"/>
  <c r="K5" i="1"/>
  <c r="J5" i="1"/>
  <c r="I5" i="1"/>
  <c r="H5" i="1"/>
  <c r="G5" i="1"/>
  <c r="F5" i="1"/>
  <c r="E5" i="1"/>
  <c r="D5" i="1"/>
  <c r="B5" i="1"/>
  <c r="A5" i="1"/>
  <c r="S4" i="1"/>
  <c r="P4" i="1"/>
  <c r="O4" i="1"/>
  <c r="L4" i="1"/>
  <c r="K4" i="1"/>
  <c r="J4" i="1"/>
  <c r="I4" i="1"/>
  <c r="H4" i="1"/>
  <c r="G4" i="1"/>
  <c r="T4" i="1" s="1"/>
  <c r="F4" i="1"/>
  <c r="E4" i="1"/>
  <c r="D4" i="1"/>
  <c r="B4" i="1"/>
  <c r="A4" i="1"/>
  <c r="S3" i="1"/>
  <c r="P3" i="1"/>
  <c r="O3" i="1"/>
  <c r="L3" i="1"/>
  <c r="K3" i="1"/>
  <c r="J3" i="1"/>
  <c r="I3" i="1"/>
  <c r="H3" i="1"/>
  <c r="G3" i="1"/>
  <c r="T3" i="1" s="1"/>
  <c r="F3" i="1"/>
  <c r="E3" i="1"/>
  <c r="D3" i="1"/>
  <c r="B3" i="1"/>
  <c r="A3" i="1"/>
  <c r="W2" i="1"/>
  <c r="V2" i="1"/>
  <c r="U2" i="1"/>
  <c r="T2" i="1"/>
  <c r="S2" i="1"/>
  <c r="R2" i="1"/>
  <c r="R7" i="1" s="1"/>
  <c r="N2" i="1"/>
  <c r="N4" i="1" s="1"/>
  <c r="U4" i="1" s="1"/>
  <c r="M2" i="1"/>
  <c r="M7" i="1" s="1"/>
  <c r="U7" i="1" s="1"/>
  <c r="N6" i="1" l="1"/>
  <c r="N5" i="1"/>
  <c r="U5" i="1" s="1"/>
  <c r="N7" i="1"/>
  <c r="N3" i="1"/>
  <c r="X2" i="1"/>
  <c r="M3" i="1"/>
  <c r="U3" i="1" s="1"/>
  <c r="R3" i="1"/>
  <c r="M4" i="1"/>
  <c r="R4" i="1"/>
  <c r="M5" i="1"/>
  <c r="R5" i="1"/>
  <c r="M6" i="1"/>
  <c r="U6" i="1" s="1"/>
  <c r="R6" i="1"/>
  <c r="X7" i="1" l="1"/>
  <c r="X6" i="1"/>
  <c r="X5" i="1"/>
  <c r="X4" i="1"/>
  <c r="X3" i="1"/>
</calcChain>
</file>

<file path=xl/sharedStrings.xml><?xml version="1.0" encoding="utf-8"?>
<sst xmlns="http://schemas.openxmlformats.org/spreadsheetml/2006/main" count="53" uniqueCount="53">
  <si>
    <t>X</t>
  </si>
  <si>
    <t>Y</t>
  </si>
  <si>
    <t>i</t>
  </si>
  <si>
    <t>ChartID</t>
  </si>
  <si>
    <t>DomainOrder</t>
  </si>
  <si>
    <t>PointID</t>
  </si>
  <si>
    <t>DomainID</t>
  </si>
  <si>
    <t>ChartOffset</t>
  </si>
  <si>
    <t>DomainOffset</t>
  </si>
  <si>
    <t>DomainName</t>
  </si>
  <si>
    <t>DomainType</t>
  </si>
  <si>
    <t>DomainHeading</t>
  </si>
  <si>
    <t>H</t>
  </si>
  <si>
    <t>Hstr</t>
  </si>
  <si>
    <t>DomainXMin</t>
  </si>
  <si>
    <t>DomainXMax</t>
  </si>
  <si>
    <t>DomainMaxPlotAge</t>
  </si>
  <si>
    <t>DomainMinPlotAge</t>
  </si>
  <si>
    <t>MinAge</t>
  </si>
  <si>
    <t>MaxAge</t>
  </si>
  <si>
    <t>DefaultMinAge</t>
  </si>
  <si>
    <t>DefaultMaxAge</t>
  </si>
  <si>
    <t>XN</t>
  </si>
  <si>
    <t>YN</t>
  </si>
  <si>
    <t>&lt;#cdsTimeSpaceDomainHeadings.CHARTID&gt;</t>
  </si>
  <si>
    <t>&lt;#cdsTimeSpaceDomainHeadings.DOMAINORDER&gt;</t>
  </si>
  <si>
    <t>&lt;#cdsTimeSpaceDomainHeadings.DOMAINID&gt;</t>
  </si>
  <si>
    <t>&lt;#cdsTimeSpaceDomainHeadings.CHARTOFFSET_MM&gt;</t>
  </si>
  <si>
    <t>&lt;#cdsTimeSpaceDomainHeadings.DOMAINOFFSET_MM&gt;</t>
  </si>
  <si>
    <t>&lt;#cdsTimeSpaceDomainHeadings.DOMAINXMIN&gt;</t>
  </si>
  <si>
    <t>&lt;#cdsTimeSpaceDomainHeadings.DOMAINXMAX&gt;</t>
  </si>
  <si>
    <t>&lt;#cdsTimeSpaceDomainHeadings.MINPLOTAGE&gt;</t>
  </si>
  <si>
    <t>&lt;#cdsTimeSpaceDomainHeadings.MAXPLOTAGE&gt;</t>
  </si>
  <si>
    <t>&lt;#cdsTimeSpaceDomainHeadings.DEFAULTMINAGE&gt;</t>
  </si>
  <si>
    <t>&lt;#cdsTimeSpaceDomainHeadings.DEFAULTMAXAGE&gt;</t>
  </si>
  <si>
    <t>&lt;#cdsTimeSpaceDomainHeadings.DOMAINNAME&gt;</t>
  </si>
  <si>
    <t>&lt;#cdsTimeSpaceDomainHeadings.DOMAINTYPE&gt;</t>
  </si>
  <si>
    <t>&lt;#cdsTimeSpaceDomainHeadings.DOMAINHEADING&gt;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</si>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</sst>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"/>
    <numFmt numFmtId="165" formatCode="#,###,##0.000"/>
    <numFmt numFmtId="166" formatCode=";;"/>
  </numFmts>
  <fonts count="7" x14ac:knownFonts="1">
    <font>
      <b/>
      <sz val="10"/>
      <name val="Arial"/>
    </font>
    <font>
      <sz val="10"/>
      <name val="Arial"/>
    </font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3" fillId="2" borderId="1" xfId="0" applyFont="1" applyFill="1" applyBorder="1" applyAlignment="1">
      <alignment horizontal="center" vertical="top" wrapText="1"/>
    </xf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top" wrapText="1"/>
    </xf>
    <xf numFmtId="49" fontId="0" fillId="0" borderId="0" xfId="0" applyNumberFormat="1"/>
    <xf numFmtId="1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0" fontId="4" fillId="0" borderId="0" xfId="0" applyFont="1"/>
    <xf numFmtId="0" fontId="6" fillId="3" borderId="0" xfId="0" applyFont="1" applyFill="1"/>
    <xf numFmtId="0" fontId="4" fillId="4" borderId="0" xfId="0" applyFont="1" applyFill="1"/>
    <xf numFmtId="0" fontId="5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"/>
  <sheetViews>
    <sheetView tabSelected="1" zoomScale="75" workbookViewId="0"/>
  </sheetViews>
  <sheetFormatPr defaultColWidth="9.140625" defaultRowHeight="12.75" x14ac:dyDescent="0.2"/>
  <cols>
    <col min="1" max="1" width="7.85546875" customWidth="1"/>
    <col min="2" max="2" width="13" customWidth="1"/>
    <col min="3" max="3" width="7" customWidth="1"/>
    <col min="4" max="4" width="9.28515625" customWidth="1"/>
    <col min="5" max="5" width="14" customWidth="1"/>
    <col min="6" max="8" width="15" customWidth="1"/>
    <col min="9" max="9" width="17.140625" customWidth="1"/>
    <col min="10" max="10" width="17.7109375" customWidth="1"/>
    <col min="11" max="12" width="15" customWidth="1"/>
    <col min="13" max="13" width="10.28515625" customWidth="1"/>
    <col min="14" max="14" width="10.85546875" customWidth="1"/>
    <col min="15" max="15" width="11.85546875" customWidth="1"/>
    <col min="16" max="16" width="12.85546875" customWidth="1"/>
    <col min="17" max="17" width="32.42578125" customWidth="1"/>
    <col min="18" max="18" width="5.42578125" customWidth="1"/>
    <col min="19" max="19" width="4" customWidth="1"/>
    <col min="21" max="21" width="10.42578125" bestFit="1" customWidth="1"/>
    <col min="22" max="23" width="10.42578125" customWidth="1"/>
    <col min="24" max="24" width="9.140625" style="10" customWidth="1"/>
  </cols>
  <sheetData>
    <row r="1" spans="1:24" ht="36" customHeight="1" thickBot="1" x14ac:dyDescent="0.25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14</v>
      </c>
      <c r="H1" s="4" t="s">
        <v>15</v>
      </c>
      <c r="I1" s="4" t="s">
        <v>17</v>
      </c>
      <c r="J1" s="4" t="s">
        <v>16</v>
      </c>
      <c r="K1" s="4" t="s">
        <v>20</v>
      </c>
      <c r="L1" s="4" t="s">
        <v>21</v>
      </c>
      <c r="M1" s="4" t="s">
        <v>18</v>
      </c>
      <c r="N1" s="4" t="s">
        <v>19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2</v>
      </c>
      <c r="T1" s="4" t="s">
        <v>0</v>
      </c>
      <c r="U1" s="4" t="s">
        <v>1</v>
      </c>
      <c r="V1" s="4" t="s">
        <v>22</v>
      </c>
      <c r="W1" s="4" t="s">
        <v>23</v>
      </c>
      <c r="X1" s="9" t="s">
        <v>13</v>
      </c>
    </row>
    <row r="2" spans="1:24" ht="13.5" customHeight="1" thickTop="1" x14ac:dyDescent="0.2">
      <c r="A2" s="1" t="s">
        <v>24</v>
      </c>
      <c r="B2" s="1" t="s">
        <v>25</v>
      </c>
      <c r="C2" s="1">
        <v>0</v>
      </c>
      <c r="D2" s="1" t="s">
        <v>26</v>
      </c>
      <c r="E2" s="1" t="s">
        <v>27</v>
      </c>
      <c r="F2" s="1" t="s">
        <v>28</v>
      </c>
      <c r="G2" s="11" t="s">
        <v>29</v>
      </c>
      <c r="H2" s="11" t="s">
        <v>30</v>
      </c>
      <c r="I2" s="12" t="s">
        <v>31</v>
      </c>
      <c r="J2" s="12" t="s">
        <v>32</v>
      </c>
      <c r="K2" s="12" t="s">
        <v>33</v>
      </c>
      <c r="L2" s="12" t="s">
        <v>34</v>
      </c>
      <c r="M2" s="2" t="e">
        <f>K2-100</f>
        <v>#VALUE!</v>
      </c>
      <c r="N2" s="2" t="str">
        <f>K2</f>
        <v>&lt;#cdsTimeSpaceDomainHeadings.DEFAULTMINAGE&gt;</v>
      </c>
      <c r="O2" s="13" t="s">
        <v>35</v>
      </c>
      <c r="P2" s="13" t="s">
        <v>36</v>
      </c>
      <c r="Q2" s="14" t="s">
        <v>37</v>
      </c>
      <c r="R2" s="5" t="e">
        <f>D2*1000000+B2</f>
        <v>#VALUE!</v>
      </c>
      <c r="S2" s="5">
        <f t="shared" ref="S2:S7" si="0">C2</f>
        <v>0</v>
      </c>
      <c r="T2" s="5" t="e">
        <f>E2+G2</f>
        <v>#VALUE!</v>
      </c>
      <c r="U2" s="6" t="e">
        <f>M2*-1</f>
        <v>#VALUE!</v>
      </c>
      <c r="V2" s="6" t="e">
        <f>E2+G2+(H2-G2)/2</f>
        <v>#VALUE!</v>
      </c>
      <c r="W2" s="6" t="e">
        <f>-1*I2+10</f>
        <v>#VALUE!</v>
      </c>
      <c r="X2" s="3" t="e">
        <f>CONCATENATE("H",R2)</f>
        <v>#VALUE!</v>
      </c>
    </row>
    <row r="3" spans="1:24" x14ac:dyDescent="0.2">
      <c r="A3" s="1" t="str">
        <f>A2</f>
        <v>&lt;#cdsTimeSpaceDomainHeadings.CHARTID&gt;</v>
      </c>
      <c r="B3" s="1" t="str">
        <f>B2</f>
        <v>&lt;#cdsTimeSpaceDomainHeadings.DOMAINORDER&gt;</v>
      </c>
      <c r="C3" s="1">
        <v>1</v>
      </c>
      <c r="D3" s="1" t="str">
        <f t="shared" ref="D3:P3" si="1">D2</f>
        <v>&lt;#cdsTimeSpaceDomainHeadings.DOMAINID&gt;</v>
      </c>
      <c r="E3" s="1" t="str">
        <f t="shared" si="1"/>
        <v>&lt;#cdsTimeSpaceDomainHeadings.CHARTOFFSET_MM&gt;</v>
      </c>
      <c r="F3" s="1" t="str">
        <f t="shared" si="1"/>
        <v>&lt;#cdsTimeSpaceDomainHeadings.DOMAINOFFSET_MM&gt;</v>
      </c>
      <c r="G3" s="11" t="str">
        <f t="shared" si="1"/>
        <v>&lt;#cdsTimeSpaceDomainHeadings.DOMAINXMIN&gt;</v>
      </c>
      <c r="H3" s="11" t="str">
        <f t="shared" si="1"/>
        <v>&lt;#cdsTimeSpaceDomainHeadings.DOMAINXMAX&gt;</v>
      </c>
      <c r="I3" s="12" t="str">
        <f t="shared" si="1"/>
        <v>&lt;#cdsTimeSpaceDomainHeadings.MINPLOTAGE&gt;</v>
      </c>
      <c r="J3" s="12" t="str">
        <f t="shared" si="1"/>
        <v>&lt;#cdsTimeSpaceDomainHeadings.MAXPLOTAGE&gt;</v>
      </c>
      <c r="K3" s="2" t="str">
        <f t="shared" si="1"/>
        <v>&lt;#cdsTimeSpaceDomainHeadings.DEFAULTMINAGE&gt;</v>
      </c>
      <c r="L3" s="2" t="str">
        <f t="shared" si="1"/>
        <v>&lt;#cdsTimeSpaceDomainHeadings.DEFAULTMAXAGE&gt;</v>
      </c>
      <c r="M3" s="2" t="e">
        <f t="shared" si="1"/>
        <v>#VALUE!</v>
      </c>
      <c r="N3" s="2" t="str">
        <f t="shared" si="1"/>
        <v>&lt;#cdsTimeSpaceDomainHeadings.DEFAULTMINAGE&gt;</v>
      </c>
      <c r="O3" s="13" t="str">
        <f t="shared" si="1"/>
        <v>&lt;#cdsTimeSpaceDomainHeadings.DOMAINNAME&gt;</v>
      </c>
      <c r="P3" s="13" t="str">
        <f t="shared" si="1"/>
        <v>&lt;#cdsTimeSpaceDomainHeadings.DOMAINTYPE&gt;</v>
      </c>
      <c r="Q3" s="7"/>
      <c r="R3" s="7" t="e">
        <f>R2</f>
        <v>#VALUE!</v>
      </c>
      <c r="S3" s="5">
        <f t="shared" si="0"/>
        <v>1</v>
      </c>
      <c r="T3" s="5" t="e">
        <f>E3+G3</f>
        <v>#VALUE!</v>
      </c>
      <c r="U3" s="6" t="e">
        <f>M3*-1</f>
        <v>#VALUE!</v>
      </c>
      <c r="V3" s="6"/>
      <c r="W3" s="6"/>
      <c r="X3" s="8" t="e">
        <f>X2</f>
        <v>#VALUE!</v>
      </c>
    </row>
    <row r="4" spans="1:24" x14ac:dyDescent="0.2">
      <c r="A4" s="1" t="str">
        <f>A2</f>
        <v>&lt;#cdsTimeSpaceDomainHeadings.CHARTID&gt;</v>
      </c>
      <c r="B4" s="1" t="str">
        <f>B2</f>
        <v>&lt;#cdsTimeSpaceDomainHeadings.DOMAINORDER&gt;</v>
      </c>
      <c r="C4" s="1">
        <v>2</v>
      </c>
      <c r="D4" s="1" t="str">
        <f t="shared" ref="D4:P4" si="2">D2</f>
        <v>&lt;#cdsTimeSpaceDomainHeadings.DOMAINID&gt;</v>
      </c>
      <c r="E4" s="1" t="str">
        <f t="shared" si="2"/>
        <v>&lt;#cdsTimeSpaceDomainHeadings.CHARTOFFSET_MM&gt;</v>
      </c>
      <c r="F4" s="1" t="str">
        <f t="shared" si="2"/>
        <v>&lt;#cdsTimeSpaceDomainHeadings.DOMAINOFFSET_MM&gt;</v>
      </c>
      <c r="G4" s="11" t="str">
        <f t="shared" si="2"/>
        <v>&lt;#cdsTimeSpaceDomainHeadings.DOMAINXMIN&gt;</v>
      </c>
      <c r="H4" s="11" t="str">
        <f t="shared" si="2"/>
        <v>&lt;#cdsTimeSpaceDomainHeadings.DOMAINXMAX&gt;</v>
      </c>
      <c r="I4" s="12" t="str">
        <f t="shared" si="2"/>
        <v>&lt;#cdsTimeSpaceDomainHeadings.MINPLOTAGE&gt;</v>
      </c>
      <c r="J4" s="12" t="str">
        <f t="shared" si="2"/>
        <v>&lt;#cdsTimeSpaceDomainHeadings.MAXPLOTAGE&gt;</v>
      </c>
      <c r="K4" s="2" t="str">
        <f t="shared" si="2"/>
        <v>&lt;#cdsTimeSpaceDomainHeadings.DEFAULTMINAGE&gt;</v>
      </c>
      <c r="L4" s="2" t="str">
        <f t="shared" si="2"/>
        <v>&lt;#cdsTimeSpaceDomainHeadings.DEFAULTMAXAGE&gt;</v>
      </c>
      <c r="M4" s="2" t="e">
        <f t="shared" si="2"/>
        <v>#VALUE!</v>
      </c>
      <c r="N4" s="2" t="str">
        <f t="shared" si="2"/>
        <v>&lt;#cdsTimeSpaceDomainHeadings.DEFAULTMINAGE&gt;</v>
      </c>
      <c r="O4" s="13" t="str">
        <f t="shared" si="2"/>
        <v>&lt;#cdsTimeSpaceDomainHeadings.DOMAINNAME&gt;</v>
      </c>
      <c r="P4" s="13" t="str">
        <f t="shared" si="2"/>
        <v>&lt;#cdsTimeSpaceDomainHeadings.DOMAINTYPE&gt;</v>
      </c>
      <c r="Q4" s="7"/>
      <c r="R4" s="7" t="e">
        <f>R2</f>
        <v>#VALUE!</v>
      </c>
      <c r="S4" s="5">
        <f t="shared" si="0"/>
        <v>2</v>
      </c>
      <c r="T4" s="5" t="e">
        <f>E4+G4</f>
        <v>#VALUE!</v>
      </c>
      <c r="U4" s="6" t="e">
        <f>N4*-1</f>
        <v>#VALUE!</v>
      </c>
      <c r="V4" s="6"/>
      <c r="W4" s="6"/>
      <c r="X4" s="8" t="e">
        <f>X2</f>
        <v>#VALUE!</v>
      </c>
    </row>
    <row r="5" spans="1:24" x14ac:dyDescent="0.2">
      <c r="A5" s="1" t="str">
        <f>A2</f>
        <v>&lt;#cdsTimeSpaceDomainHeadings.CHARTID&gt;</v>
      </c>
      <c r="B5" s="1" t="str">
        <f>B2</f>
        <v>&lt;#cdsTimeSpaceDomainHeadings.DOMAINORDER&gt;</v>
      </c>
      <c r="C5" s="1">
        <v>3</v>
      </c>
      <c r="D5" s="1" t="str">
        <f t="shared" ref="D5:P5" si="3">D2</f>
        <v>&lt;#cdsTimeSpaceDomainHeadings.DOMAINID&gt;</v>
      </c>
      <c r="E5" s="1" t="str">
        <f t="shared" si="3"/>
        <v>&lt;#cdsTimeSpaceDomainHeadings.CHARTOFFSET_MM&gt;</v>
      </c>
      <c r="F5" s="1" t="str">
        <f t="shared" si="3"/>
        <v>&lt;#cdsTimeSpaceDomainHeadings.DOMAINOFFSET_MM&gt;</v>
      </c>
      <c r="G5" s="11" t="str">
        <f t="shared" si="3"/>
        <v>&lt;#cdsTimeSpaceDomainHeadings.DOMAINXMIN&gt;</v>
      </c>
      <c r="H5" s="11" t="str">
        <f t="shared" si="3"/>
        <v>&lt;#cdsTimeSpaceDomainHeadings.DOMAINXMAX&gt;</v>
      </c>
      <c r="I5" s="12" t="str">
        <f t="shared" si="3"/>
        <v>&lt;#cdsTimeSpaceDomainHeadings.MINPLOTAGE&gt;</v>
      </c>
      <c r="J5" s="12" t="str">
        <f t="shared" si="3"/>
        <v>&lt;#cdsTimeSpaceDomainHeadings.MAXPLOTAGE&gt;</v>
      </c>
      <c r="K5" s="2" t="str">
        <f t="shared" si="3"/>
        <v>&lt;#cdsTimeSpaceDomainHeadings.DEFAULTMINAGE&gt;</v>
      </c>
      <c r="L5" s="2" t="str">
        <f t="shared" si="3"/>
        <v>&lt;#cdsTimeSpaceDomainHeadings.DEFAULTMAXAGE&gt;</v>
      </c>
      <c r="M5" s="2" t="e">
        <f t="shared" si="3"/>
        <v>#VALUE!</v>
      </c>
      <c r="N5" s="2" t="str">
        <f t="shared" si="3"/>
        <v>&lt;#cdsTimeSpaceDomainHeadings.DEFAULTMINAGE&gt;</v>
      </c>
      <c r="O5" s="13" t="str">
        <f t="shared" si="3"/>
        <v>&lt;#cdsTimeSpaceDomainHeadings.DOMAINNAME&gt;</v>
      </c>
      <c r="P5" s="13" t="str">
        <f t="shared" si="3"/>
        <v>&lt;#cdsTimeSpaceDomainHeadings.DOMAINTYPE&gt;</v>
      </c>
      <c r="Q5" s="7"/>
      <c r="R5" s="7" t="e">
        <f>R2</f>
        <v>#VALUE!</v>
      </c>
      <c r="S5" s="5">
        <f t="shared" si="0"/>
        <v>3</v>
      </c>
      <c r="T5" s="5" t="e">
        <f>E5+H5</f>
        <v>#VALUE!</v>
      </c>
      <c r="U5" s="6" t="e">
        <f>N5*-1</f>
        <v>#VALUE!</v>
      </c>
      <c r="V5" s="6"/>
      <c r="W5" s="6"/>
      <c r="X5" s="8" t="e">
        <f>X2</f>
        <v>#VALUE!</v>
      </c>
    </row>
    <row r="6" spans="1:24" x14ac:dyDescent="0.2">
      <c r="A6" s="1" t="str">
        <f>A2</f>
        <v>&lt;#cdsTimeSpaceDomainHeadings.CHARTID&gt;</v>
      </c>
      <c r="B6" s="1" t="str">
        <f>B2</f>
        <v>&lt;#cdsTimeSpaceDomainHeadings.DOMAINORDER&gt;</v>
      </c>
      <c r="C6" s="1">
        <v>4</v>
      </c>
      <c r="D6" s="1" t="str">
        <f t="shared" ref="D6:P6" si="4">D2</f>
        <v>&lt;#cdsTimeSpaceDomainHeadings.DOMAINID&gt;</v>
      </c>
      <c r="E6" s="1" t="str">
        <f t="shared" si="4"/>
        <v>&lt;#cdsTimeSpaceDomainHeadings.CHARTOFFSET_MM&gt;</v>
      </c>
      <c r="F6" s="1" t="str">
        <f t="shared" si="4"/>
        <v>&lt;#cdsTimeSpaceDomainHeadings.DOMAINOFFSET_MM&gt;</v>
      </c>
      <c r="G6" s="11" t="str">
        <f t="shared" si="4"/>
        <v>&lt;#cdsTimeSpaceDomainHeadings.DOMAINXMIN&gt;</v>
      </c>
      <c r="H6" s="11" t="str">
        <f t="shared" si="4"/>
        <v>&lt;#cdsTimeSpaceDomainHeadings.DOMAINXMAX&gt;</v>
      </c>
      <c r="I6" s="12" t="str">
        <f t="shared" si="4"/>
        <v>&lt;#cdsTimeSpaceDomainHeadings.MINPLOTAGE&gt;</v>
      </c>
      <c r="J6" s="12" t="str">
        <f t="shared" si="4"/>
        <v>&lt;#cdsTimeSpaceDomainHeadings.MAXPLOTAGE&gt;</v>
      </c>
      <c r="K6" s="2" t="str">
        <f t="shared" si="4"/>
        <v>&lt;#cdsTimeSpaceDomainHeadings.DEFAULTMINAGE&gt;</v>
      </c>
      <c r="L6" s="2" t="str">
        <f t="shared" si="4"/>
        <v>&lt;#cdsTimeSpaceDomainHeadings.DEFAULTMAXAGE&gt;</v>
      </c>
      <c r="M6" s="2" t="e">
        <f t="shared" si="4"/>
        <v>#VALUE!</v>
      </c>
      <c r="N6" s="2" t="str">
        <f t="shared" si="4"/>
        <v>&lt;#cdsTimeSpaceDomainHeadings.DEFAULTMINAGE&gt;</v>
      </c>
      <c r="O6" s="13" t="str">
        <f t="shared" si="4"/>
        <v>&lt;#cdsTimeSpaceDomainHeadings.DOMAINNAME&gt;</v>
      </c>
      <c r="P6" s="13" t="str">
        <f t="shared" si="4"/>
        <v>&lt;#cdsTimeSpaceDomainHeadings.DOMAINTYPE&gt;</v>
      </c>
      <c r="Q6" s="7"/>
      <c r="R6" s="7" t="e">
        <f>R2</f>
        <v>#VALUE!</v>
      </c>
      <c r="S6" s="5">
        <f t="shared" si="0"/>
        <v>4</v>
      </c>
      <c r="T6" s="5" t="e">
        <f>E6+H6</f>
        <v>#VALUE!</v>
      </c>
      <c r="U6" s="6" t="e">
        <f>M6*-1</f>
        <v>#VALUE!</v>
      </c>
      <c r="V6" s="6"/>
      <c r="W6" s="6"/>
      <c r="X6" s="8" t="e">
        <f>X2</f>
        <v>#VALUE!</v>
      </c>
    </row>
    <row r="7" spans="1:24" x14ac:dyDescent="0.2">
      <c r="A7" s="1" t="str">
        <f>A2</f>
        <v>&lt;#cdsTimeSpaceDomainHeadings.CHARTID&gt;</v>
      </c>
      <c r="B7" s="1" t="str">
        <f>B2</f>
        <v>&lt;#cdsTimeSpaceDomainHeadings.DOMAINORDER&gt;</v>
      </c>
      <c r="C7" s="1">
        <v>5</v>
      </c>
      <c r="D7" s="1" t="str">
        <f t="shared" ref="D7:P7" si="5">D2</f>
        <v>&lt;#cdsTimeSpaceDomainHeadings.DOMAINID&gt;</v>
      </c>
      <c r="E7" s="1" t="str">
        <f t="shared" si="5"/>
        <v>&lt;#cdsTimeSpaceDomainHeadings.CHARTOFFSET_MM&gt;</v>
      </c>
      <c r="F7" s="1" t="str">
        <f t="shared" si="5"/>
        <v>&lt;#cdsTimeSpaceDomainHeadings.DOMAINOFFSET_MM&gt;</v>
      </c>
      <c r="G7" s="11" t="str">
        <f t="shared" si="5"/>
        <v>&lt;#cdsTimeSpaceDomainHeadings.DOMAINXMIN&gt;</v>
      </c>
      <c r="H7" s="11" t="str">
        <f t="shared" si="5"/>
        <v>&lt;#cdsTimeSpaceDomainHeadings.DOMAINXMAX&gt;</v>
      </c>
      <c r="I7" s="12" t="str">
        <f t="shared" si="5"/>
        <v>&lt;#cdsTimeSpaceDomainHeadings.MINPLOTAGE&gt;</v>
      </c>
      <c r="J7" s="12" t="str">
        <f t="shared" si="5"/>
        <v>&lt;#cdsTimeSpaceDomainHeadings.MAXPLOTAGE&gt;</v>
      </c>
      <c r="K7" s="2" t="str">
        <f t="shared" si="5"/>
        <v>&lt;#cdsTimeSpaceDomainHeadings.DEFAULTMINAGE&gt;</v>
      </c>
      <c r="L7" s="2" t="str">
        <f t="shared" si="5"/>
        <v>&lt;#cdsTimeSpaceDomainHeadings.DEFAULTMAXAGE&gt;</v>
      </c>
      <c r="M7" s="2" t="e">
        <f t="shared" si="5"/>
        <v>#VALUE!</v>
      </c>
      <c r="N7" s="2" t="str">
        <f t="shared" si="5"/>
        <v>&lt;#cdsTimeSpaceDomainHeadings.DEFAULTMINAGE&gt;</v>
      </c>
      <c r="O7" s="13" t="str">
        <f t="shared" si="5"/>
        <v>&lt;#cdsTimeSpaceDomainHeadings.DOMAINNAME&gt;</v>
      </c>
      <c r="P7" s="13" t="str">
        <f t="shared" si="5"/>
        <v>&lt;#cdsTimeSpaceDomainHeadings.DOMAINTYPE&gt;</v>
      </c>
      <c r="Q7" s="7"/>
      <c r="R7" s="7" t="e">
        <f>R2</f>
        <v>#VALUE!</v>
      </c>
      <c r="S7" s="5">
        <f t="shared" si="0"/>
        <v>5</v>
      </c>
      <c r="T7" s="5" t="e">
        <f>E7+G7</f>
        <v>#VALUE!</v>
      </c>
      <c r="U7" s="6" t="e">
        <f>M7*-1</f>
        <v>#VALUE!</v>
      </c>
      <c r="V7" s="6"/>
      <c r="W7" s="6"/>
      <c r="X7" s="8" t="e">
        <f>X2</f>
        <v>#VALUE!</v>
      </c>
    </row>
  </sheetData>
  <pageMargins left="0.75" right="0.75" top="1" bottom="1" header="0.5" footer="0.5"/>
  <pageSetup orientation="portrait" verticalDpi="0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15" customWidth="1"/>
    <col min="2" max="2" width="18.7109375" style="15" customWidth="1"/>
    <col min="3" max="3" width="32.7109375" style="15" customWidth="1"/>
    <col min="4" max="4" width="24.7109375" style="15" customWidth="1"/>
    <col min="5" max="7" width="1.7109375" style="15" customWidth="1"/>
    <col min="8" max="8" width="14.7109375" style="15" customWidth="1"/>
    <col min="9" max="9" width="11.7109375" style="15" customWidth="1"/>
    <col min="10" max="12" width="1.7109375" style="15" customWidth="1"/>
    <col min="13" max="13" width="14.7109375" style="15" customWidth="1"/>
    <col min="14" max="14" width="20.7109375" style="15" customWidth="1"/>
  </cols>
  <sheetData>
    <row r="1" spans="1:14" s="16" customFormat="1" ht="18" x14ac:dyDescent="0.25">
      <c r="A1" s="16" t="s">
        <v>38</v>
      </c>
    </row>
    <row r="3" spans="1:14" x14ac:dyDescent="0.25">
      <c r="A3" s="17" t="s">
        <v>39</v>
      </c>
    </row>
    <row r="4" spans="1:14" x14ac:dyDescent="0.25">
      <c r="A4" s="17" t="s">
        <v>40</v>
      </c>
    </row>
    <row r="5" spans="1:14" x14ac:dyDescent="0.25">
      <c r="A5" s="17" t="s">
        <v>41</v>
      </c>
    </row>
    <row r="8" spans="1:14" x14ac:dyDescent="0.25">
      <c r="A8" s="17" t="s">
        <v>42</v>
      </c>
      <c r="B8" s="17"/>
      <c r="C8" s="17"/>
      <c r="D8" s="17"/>
      <c r="H8" s="17" t="s">
        <v>43</v>
      </c>
      <c r="I8" s="17"/>
      <c r="M8" s="17" t="s">
        <v>44</v>
      </c>
      <c r="N8" s="17"/>
    </row>
    <row r="9" spans="1:14" ht="30" x14ac:dyDescent="0.25">
      <c r="A9" s="18" t="s">
        <v>45</v>
      </c>
      <c r="B9" s="18" t="s">
        <v>46</v>
      </c>
      <c r="C9" s="18" t="s">
        <v>47</v>
      </c>
      <c r="D9" s="18" t="s">
        <v>48</v>
      </c>
      <c r="H9" s="18" t="s">
        <v>49</v>
      </c>
      <c r="I9" s="18" t="s">
        <v>50</v>
      </c>
      <c r="M9" s="18" t="s">
        <v>51</v>
      </c>
      <c r="N9" s="18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timespacedomainheadings</vt:lpstr>
      <vt:lpstr>&lt;#Config&gt;</vt:lpstr>
      <vt:lpstr>__cdsTimeSpaceDomainHeadings__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bre255</cp:lastModifiedBy>
  <dcterms:created xsi:type="dcterms:W3CDTF">2020-03-19T23:08:04Z</dcterms:created>
  <dcterms:modified xsi:type="dcterms:W3CDTF">2020-09-15T21:48:44Z</dcterms:modified>
</cp:coreProperties>
</file>