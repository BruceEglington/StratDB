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ED04581B-5B24-4B7B-8C2E-C88C2AE24A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provincedates" sheetId="1" r:id="rId1"/>
    <sheet name="&lt;#Config&gt;" sheetId="2" r:id="rId2"/>
  </sheets>
  <definedNames>
    <definedName name="__cdsDVDomainDatesProvinces__">timespaceprovincedates!$A$2:$W$2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" i="1" l="1"/>
  <c r="V2" i="1"/>
  <c r="U2" i="1"/>
</calcChain>
</file>

<file path=xl/sharedStrings.xml><?xml version="1.0" encoding="utf-8"?>
<sst xmlns="http://schemas.openxmlformats.org/spreadsheetml/2006/main" count="58" uniqueCount="58">
  <si>
    <t>DomainOrder</t>
  </si>
  <si>
    <t>DomainID</t>
  </si>
  <si>
    <t>RecordID</t>
  </si>
  <si>
    <t>CountryID</t>
  </si>
  <si>
    <t>UnitName</t>
  </si>
  <si>
    <t>IsotopeSystemID</t>
  </si>
  <si>
    <t>Lithology</t>
  </si>
  <si>
    <t>MaterialAbr</t>
  </si>
  <si>
    <t>ApproachAbr</t>
  </si>
  <si>
    <t>TechAbr</t>
  </si>
  <si>
    <t>InterpAbr</t>
  </si>
  <si>
    <t>Rating</t>
  </si>
  <si>
    <t>RAge</t>
  </si>
  <si>
    <t>RAgePError</t>
  </si>
  <si>
    <t>RAgeMError</t>
  </si>
  <si>
    <t>DomainXMin</t>
  </si>
  <si>
    <t>DomainXMax</t>
  </si>
  <si>
    <t>AgeUnits</t>
  </si>
  <si>
    <t>X</t>
  </si>
  <si>
    <t>Y</t>
  </si>
  <si>
    <t>DateStr</t>
  </si>
  <si>
    <t>DomainName</t>
  </si>
  <si>
    <t>UnitID</t>
  </si>
  <si>
    <t>&lt;#cdsDVDomainDatesProvinces.DOMAINORDER&gt;</t>
  </si>
  <si>
    <t>&lt;#cdsDVDomainDatesProvinces.DOMAINID&gt;</t>
  </si>
  <si>
    <t>&lt;#cdsDVDomainDatesProvinces.DOMAINNAME&gt;</t>
  </si>
  <si>
    <t>&lt;#cdsDVDomainDatesProvinces.COUNTRYABR&gt;</t>
  </si>
  <si>
    <t>&lt;#cdsDVDomainDatesProvinces.RECORDID&gt;</t>
  </si>
  <si>
    <t>&lt;#cdsDVDomainDatesProvinces.UNITID&gt;</t>
  </si>
  <si>
    <t>&lt;#cdsDVDomainDatesProvinces.UNITNAME&gt;</t>
  </si>
  <si>
    <t>&lt;#cdsDVDomainDatesProvinces.LITHOLOGY&gt;</t>
  </si>
  <si>
    <t>&lt;#cdsDVDomainDatesProvinces.ISOTOPESYSTEM&gt;</t>
  </si>
  <si>
    <t>&lt;#cdsDVDomainDatesProvinces.MATERIALABR&gt;</t>
  </si>
  <si>
    <t>&lt;#cdsDVDomainDatesProvinces.APPROACHABR&gt;</t>
  </si>
  <si>
    <t>&lt;#cdsDVDomainDatesProvinces.TECHABR&gt;</t>
  </si>
  <si>
    <t>&lt;#cdsDVDomainDatesProvinces.INTERPABR&gt;</t>
  </si>
  <si>
    <t>&lt;#cdsDVDomainDatesProvinces.PREFLEVEL&gt;</t>
  </si>
  <si>
    <t>&lt;#cdsDVDomainDatesProvinces.RAGE&gt;</t>
  </si>
  <si>
    <t>&lt;#cdsDVDomainDatesProvinces.RAGEPERROR&gt;</t>
  </si>
  <si>
    <t>&lt;#cdsDVDomainDatesProvinces.RAGEMERROR&gt;</t>
  </si>
  <si>
    <t>&lt;#cdsDVDomainDatesProvinces.AGEUNITS&gt;</t>
  </si>
  <si>
    <t>&lt;#cdsDVDomainDatesProvinces.DOMAINXMIN&gt;</t>
  </si>
  <si>
    <t>&lt;#cdsDVDomainDatesProvinces.DOMAINXMAX&gt;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</si>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</sst>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/>
    <xf numFmtId="2" fontId="0" fillId="0" borderId="0" xfId="0" applyNumberFormat="1" applyAlignmen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2" fillId="0" borderId="0" xfId="0" applyFont="1"/>
    <xf numFmtId="0" fontId="4" fillId="3" borderId="0" xfId="0" applyFont="1" applyFill="1"/>
    <xf numFmtId="0" fontId="2" fillId="4" borderId="0" xfId="0" applyFont="1" applyFill="1"/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H1" zoomScale="75" workbookViewId="0">
      <selection activeCell="H1" sqref="H1"/>
    </sheetView>
  </sheetViews>
  <sheetFormatPr defaultColWidth="9.140625" defaultRowHeight="12.75" x14ac:dyDescent="0.2"/>
  <cols>
    <col min="1" max="1" width="12.42578125" customWidth="1"/>
    <col min="2" max="3" width="12.5703125" customWidth="1"/>
    <col min="4" max="4" width="11.28515625" customWidth="1"/>
    <col min="5" max="6" width="12.42578125" customWidth="1"/>
    <col min="7" max="7" width="29.28515625" customWidth="1"/>
    <col min="8" max="8" width="20" customWidth="1"/>
    <col min="9" max="9" width="14.7109375" customWidth="1"/>
    <col min="10" max="22" width="12.42578125" customWidth="1"/>
    <col min="23" max="23" width="14.42578125" customWidth="1"/>
  </cols>
  <sheetData>
    <row r="1" spans="1:23" ht="26.25" thickBot="1" x14ac:dyDescent="0.25">
      <c r="A1" s="1" t="s">
        <v>0</v>
      </c>
      <c r="B1" s="1" t="s">
        <v>1</v>
      </c>
      <c r="C1" s="1" t="s">
        <v>21</v>
      </c>
      <c r="D1" s="1" t="s">
        <v>3</v>
      </c>
      <c r="E1" s="1" t="s">
        <v>2</v>
      </c>
      <c r="F1" s="1" t="s">
        <v>22</v>
      </c>
      <c r="G1" s="1" t="s">
        <v>4</v>
      </c>
      <c r="H1" s="1" t="s">
        <v>6</v>
      </c>
      <c r="I1" s="1" t="s">
        <v>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17</v>
      </c>
      <c r="S1" s="1" t="s">
        <v>15</v>
      </c>
      <c r="T1" s="1" t="s">
        <v>16</v>
      </c>
      <c r="U1" s="1" t="s">
        <v>18</v>
      </c>
      <c r="V1" s="1" t="s">
        <v>19</v>
      </c>
      <c r="W1" s="1" t="s">
        <v>20</v>
      </c>
    </row>
    <row r="2" spans="1:23" ht="13.5" thickTop="1" x14ac:dyDescent="0.2">
      <c r="A2" s="3" t="s">
        <v>23</v>
      </c>
      <c r="B2" s="3" t="s">
        <v>24</v>
      </c>
      <c r="C2" s="7" t="s">
        <v>25</v>
      </c>
      <c r="D2" s="4" t="s">
        <v>26</v>
      </c>
      <c r="E2" s="3" t="s">
        <v>27</v>
      </c>
      <c r="F2" s="3" t="s">
        <v>28</v>
      </c>
      <c r="G2" s="4" t="s">
        <v>29</v>
      </c>
      <c r="H2" s="4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6" t="s">
        <v>36</v>
      </c>
      <c r="O2" s="4" t="s">
        <v>37</v>
      </c>
      <c r="P2" s="4" t="s">
        <v>38</v>
      </c>
      <c r="Q2" s="4" t="s">
        <v>39</v>
      </c>
      <c r="R2" s="2" t="s">
        <v>40</v>
      </c>
      <c r="S2" s="3" t="s">
        <v>41</v>
      </c>
      <c r="T2" s="3" t="s">
        <v>42</v>
      </c>
      <c r="U2" s="3" t="e">
        <f>S2+3</f>
        <v>#VALUE!</v>
      </c>
      <c r="V2" s="3" t="e">
        <f>-1*O2</f>
        <v>#VALUE!</v>
      </c>
      <c r="W2" s="5" t="e">
        <f>CONCATENATE("DV",10000000000*A2,E2)</f>
        <v>#VALUE!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8" customWidth="1"/>
    <col min="2" max="2" width="18.7109375" style="8" customWidth="1"/>
    <col min="3" max="3" width="32.7109375" style="8" customWidth="1"/>
    <col min="4" max="4" width="24.7109375" style="8" customWidth="1"/>
    <col min="5" max="7" width="1.7109375" style="8" customWidth="1"/>
    <col min="8" max="8" width="14.7109375" style="8" customWidth="1"/>
    <col min="9" max="9" width="11.7109375" style="8" customWidth="1"/>
    <col min="10" max="12" width="1.7109375" style="8" customWidth="1"/>
    <col min="13" max="13" width="14.7109375" style="8" customWidth="1"/>
    <col min="14" max="14" width="20.7109375" style="8" customWidth="1"/>
  </cols>
  <sheetData>
    <row r="1" spans="1:14" s="9" customFormat="1" ht="18" x14ac:dyDescent="0.25">
      <c r="A1" s="9" t="s">
        <v>43</v>
      </c>
    </row>
    <row r="3" spans="1:14" x14ac:dyDescent="0.25">
      <c r="A3" s="10" t="s">
        <v>44</v>
      </c>
    </row>
    <row r="4" spans="1:14" x14ac:dyDescent="0.25">
      <c r="A4" s="10" t="s">
        <v>45</v>
      </c>
    </row>
    <row r="5" spans="1:14" x14ac:dyDescent="0.25">
      <c r="A5" s="10" t="s">
        <v>46</v>
      </c>
    </row>
    <row r="8" spans="1:14" x14ac:dyDescent="0.25">
      <c r="A8" s="10" t="s">
        <v>47</v>
      </c>
      <c r="B8" s="10"/>
      <c r="C8" s="10"/>
      <c r="D8" s="10"/>
      <c r="H8" s="10" t="s">
        <v>48</v>
      </c>
      <c r="I8" s="10"/>
      <c r="M8" s="10" t="s">
        <v>49</v>
      </c>
      <c r="N8" s="10"/>
    </row>
    <row r="9" spans="1:14" ht="30" x14ac:dyDescent="0.25">
      <c r="A9" s="11" t="s">
        <v>50</v>
      </c>
      <c r="B9" s="11" t="s">
        <v>51</v>
      </c>
      <c r="C9" s="11" t="s">
        <v>52</v>
      </c>
      <c r="D9" s="11" t="s">
        <v>53</v>
      </c>
      <c r="H9" s="11" t="s">
        <v>54</v>
      </c>
      <c r="I9" s="11" t="s">
        <v>55</v>
      </c>
      <c r="M9" s="11" t="s">
        <v>56</v>
      </c>
      <c r="N9" s="11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timespaceprovincedates</vt:lpstr>
      <vt:lpstr>&lt;#Config&gt;</vt:lpstr>
      <vt:lpstr>__cdsDVDomainDatesProvinces__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2020-03-19T23:08:04Z</dcterms:created>
  <dcterms:modified xsi:type="dcterms:W3CDTF">2020-09-15T21:47:16Z</dcterms:modified>
</cp:coreProperties>
</file>