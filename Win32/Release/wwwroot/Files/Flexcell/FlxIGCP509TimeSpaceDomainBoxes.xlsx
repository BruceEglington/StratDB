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1586E619-3237-4F6E-8EAE-7280DCD840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domainboxes" sheetId="1" r:id="rId1"/>
    <sheet name="&lt;#Config&gt;" sheetId="2" r:id="rId2"/>
  </sheets>
  <definedNames>
    <definedName name="__cdsTimeSpaceDomainBoxes__">timespacedomainboxes!$A$2:$V$7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" i="1" l="1"/>
  <c r="R7" i="1" s="1"/>
  <c r="U7" i="1" s="1"/>
  <c r="M7" i="1"/>
  <c r="L7" i="1"/>
  <c r="K7" i="1"/>
  <c r="J7" i="1"/>
  <c r="I7" i="1"/>
  <c r="H7" i="1"/>
  <c r="G7" i="1"/>
  <c r="F7" i="1"/>
  <c r="E7" i="1"/>
  <c r="D7" i="1"/>
  <c r="B7" i="1"/>
  <c r="A7" i="1"/>
  <c r="N6" i="1"/>
  <c r="R6" i="1" s="1"/>
  <c r="U6" i="1" s="1"/>
  <c r="M6" i="1"/>
  <c r="L6" i="1"/>
  <c r="J6" i="1"/>
  <c r="I6" i="1"/>
  <c r="H6" i="1"/>
  <c r="G6" i="1"/>
  <c r="F6" i="1"/>
  <c r="E6" i="1"/>
  <c r="D6" i="1"/>
  <c r="B6" i="1"/>
  <c r="A6" i="1"/>
  <c r="Q5" i="1"/>
  <c r="T5" i="1" s="1"/>
  <c r="N5" i="1"/>
  <c r="R5" i="1" s="1"/>
  <c r="U5" i="1" s="1"/>
  <c r="M5" i="1"/>
  <c r="L5" i="1"/>
  <c r="J5" i="1"/>
  <c r="I5" i="1"/>
  <c r="H5" i="1"/>
  <c r="G5" i="1"/>
  <c r="F5" i="1"/>
  <c r="E5" i="1"/>
  <c r="D5" i="1"/>
  <c r="B5" i="1"/>
  <c r="A5" i="1"/>
  <c r="N4" i="1"/>
  <c r="R4" i="1" s="1"/>
  <c r="U4" i="1" s="1"/>
  <c r="M4" i="1"/>
  <c r="L4" i="1"/>
  <c r="K4" i="1"/>
  <c r="J4" i="1"/>
  <c r="I4" i="1"/>
  <c r="H4" i="1"/>
  <c r="G4" i="1"/>
  <c r="F4" i="1"/>
  <c r="E4" i="1"/>
  <c r="D4" i="1"/>
  <c r="B4" i="1"/>
  <c r="A4" i="1"/>
  <c r="N3" i="1"/>
  <c r="R3" i="1" s="1"/>
  <c r="U3" i="1" s="1"/>
  <c r="M3" i="1"/>
  <c r="L3" i="1"/>
  <c r="K3" i="1"/>
  <c r="J3" i="1"/>
  <c r="I3" i="1"/>
  <c r="H3" i="1"/>
  <c r="G3" i="1"/>
  <c r="F3" i="1"/>
  <c r="E3" i="1"/>
  <c r="D3" i="1"/>
  <c r="B3" i="1"/>
  <c r="A3" i="1"/>
  <c r="T2" i="1"/>
  <c r="Q2" i="1"/>
  <c r="Q4" i="1" s="1"/>
  <c r="T4" i="1" s="1"/>
  <c r="P2" i="1"/>
  <c r="P5" i="1" s="1"/>
  <c r="N2" i="1"/>
  <c r="R2" i="1" s="1"/>
  <c r="U2" i="1" s="1"/>
  <c r="M2" i="1"/>
  <c r="L2" i="1"/>
  <c r="K2" i="1"/>
  <c r="K6" i="1" s="1"/>
  <c r="P3" i="1" l="1"/>
  <c r="P7" i="1"/>
  <c r="V2" i="1"/>
  <c r="Q3" i="1"/>
  <c r="T3" i="1" s="1"/>
  <c r="P4" i="1"/>
  <c r="K5" i="1"/>
  <c r="Q7" i="1"/>
  <c r="T7" i="1" s="1"/>
  <c r="P6" i="1"/>
  <c r="Q6" i="1"/>
  <c r="T6" i="1" s="1"/>
  <c r="O2" i="1"/>
  <c r="S2" i="1"/>
  <c r="S6" i="1" l="1"/>
  <c r="S4" i="1"/>
  <c r="S5" i="1"/>
  <c r="S7" i="1"/>
  <c r="S3" i="1"/>
  <c r="O6" i="1"/>
  <c r="O4" i="1"/>
  <c r="O7" i="1"/>
  <c r="O3" i="1"/>
  <c r="O5" i="1"/>
  <c r="V7" i="1"/>
  <c r="V3" i="1"/>
  <c r="V6" i="1"/>
  <c r="V5" i="1"/>
  <c r="V4" i="1"/>
</calcChain>
</file>

<file path=xl/sharedStrings.xml><?xml version="1.0" encoding="utf-8"?>
<sst xmlns="http://schemas.openxmlformats.org/spreadsheetml/2006/main" count="46" uniqueCount="46">
  <si>
    <t>X</t>
  </si>
  <si>
    <t>Y</t>
  </si>
  <si>
    <t>i</t>
  </si>
  <si>
    <t>ChartID</t>
  </si>
  <si>
    <t>DomainOrder</t>
  </si>
  <si>
    <t>PointID</t>
  </si>
  <si>
    <t>ChartOffset</t>
  </si>
  <si>
    <t>DomainOffset</t>
  </si>
  <si>
    <t>DomainXMin</t>
  </si>
  <si>
    <t>DomainXMax</t>
  </si>
  <si>
    <t>DomainMinAge</t>
  </si>
  <si>
    <t>DomainMaxAge</t>
  </si>
  <si>
    <t>Bstr</t>
  </si>
  <si>
    <t>B</t>
  </si>
  <si>
    <t>BarcodeB</t>
  </si>
  <si>
    <t>BarcodeX</t>
  </si>
  <si>
    <t>BarcodeY</t>
  </si>
  <si>
    <t>Barcodestr</t>
  </si>
  <si>
    <t>DomainName</t>
  </si>
  <si>
    <t>BarcodeDVX</t>
  </si>
  <si>
    <t>BarcodeDVY</t>
  </si>
  <si>
    <t>BarcodeDVstr</t>
  </si>
  <si>
    <t>&lt;#cdsTimeSpaceDomainBoxes.CHARTID&gt;</t>
  </si>
  <si>
    <t>&lt;#cdsTimeSpaceDomainBoxes.DOMAINORDER&gt;</t>
  </si>
  <si>
    <t>&lt;#cdsTimeSpaceDomainBoxes.DOMAINNAME&gt;</t>
  </si>
  <si>
    <t>&lt;#cdsTimeSpaceDomainBoxes.CHARTOFFSET_MM&gt;</t>
  </si>
  <si>
    <t>&lt;#cdsTimeSpaceDomainBoxes.DOMAINOFFSET_MM&gt;</t>
  </si>
  <si>
    <t>&lt;#cdsTimeSpaceDomainBoxes.DOMAINXMIN&gt;</t>
  </si>
  <si>
    <t>&lt;#cdsTimeSpaceDomainBoxes.DOMAINXMAX&gt;</t>
  </si>
  <si>
    <t>&lt;#cdsTimeSpaceDomainBoxes.MINPLOTAGE&gt;</t>
  </si>
  <si>
    <t>&lt;#cdsTimeSpaceDomainBoxes.MAXPLOTAGE&gt;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</si>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</sst>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="75" workbookViewId="0"/>
  </sheetViews>
  <sheetFormatPr defaultColWidth="9.140625" defaultRowHeight="12.75" x14ac:dyDescent="0.2"/>
  <cols>
    <col min="1" max="1" width="9.5703125" customWidth="1"/>
    <col min="2" max="2" width="8.5703125" customWidth="1"/>
    <col min="3" max="3" width="8.7109375" customWidth="1"/>
    <col min="4" max="4" width="23.140625" customWidth="1"/>
    <col min="5" max="5" width="14" customWidth="1"/>
    <col min="6" max="8" width="15" customWidth="1"/>
    <col min="9" max="9" width="16.140625" customWidth="1"/>
    <col min="10" max="10" width="16.5703125" customWidth="1"/>
    <col min="11" max="11" width="5.42578125" customWidth="1"/>
    <col min="12" max="12" width="4" customWidth="1"/>
    <col min="14" max="14" width="10.42578125" bestFit="1" customWidth="1"/>
    <col min="15" max="15" width="9.140625" style="4" customWidth="1"/>
    <col min="16" max="16" width="11.42578125" style="4" customWidth="1"/>
    <col min="17" max="17" width="11" style="4" customWidth="1"/>
    <col min="18" max="18" width="10.7109375" style="4" customWidth="1"/>
    <col min="19" max="19" width="12.140625" customWidth="1"/>
    <col min="20" max="22" width="10.7109375" style="4" customWidth="1"/>
  </cols>
  <sheetData>
    <row r="1" spans="1:22" ht="36" customHeight="1" thickBot="1" x14ac:dyDescent="0.25">
      <c r="A1" s="2" t="s">
        <v>3</v>
      </c>
      <c r="B1" s="2" t="s">
        <v>4</v>
      </c>
      <c r="C1" s="2" t="s">
        <v>5</v>
      </c>
      <c r="D1" s="2" t="s">
        <v>18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2</v>
      </c>
      <c r="M1" s="2" t="s">
        <v>0</v>
      </c>
      <c r="N1" s="2" t="s">
        <v>1</v>
      </c>
      <c r="O1" s="3" t="s">
        <v>12</v>
      </c>
      <c r="P1" s="3" t="s">
        <v>14</v>
      </c>
      <c r="Q1" s="3" t="s">
        <v>15</v>
      </c>
      <c r="R1" s="2" t="s">
        <v>16</v>
      </c>
      <c r="S1" s="2" t="s">
        <v>17</v>
      </c>
      <c r="T1" s="2" t="s">
        <v>19</v>
      </c>
      <c r="U1" s="2" t="s">
        <v>20</v>
      </c>
      <c r="V1" s="2" t="s">
        <v>21</v>
      </c>
    </row>
    <row r="2" spans="1:22" ht="13.5" customHeight="1" thickTop="1" x14ac:dyDescent="0.2">
      <c r="A2" s="1" t="s">
        <v>22</v>
      </c>
      <c r="B2" s="1" t="s">
        <v>23</v>
      </c>
      <c r="C2" s="1">
        <v>0</v>
      </c>
      <c r="D2" s="1" t="s">
        <v>24</v>
      </c>
      <c r="E2" s="1" t="s">
        <v>25</v>
      </c>
      <c r="F2" s="1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8" t="str">
        <f>B2</f>
        <v>&lt;#cdsTimeSpaceDomainBoxes.DOMAINORDER&gt;</v>
      </c>
      <c r="L2" s="8">
        <f>C2</f>
        <v>0</v>
      </c>
      <c r="M2" s="9" t="e">
        <f>E2+G2</f>
        <v>#VALUE!</v>
      </c>
      <c r="N2" s="9" t="e">
        <f>I2*-1</f>
        <v>#VALUE!</v>
      </c>
      <c r="O2" s="6" t="str">
        <f>CONCATENATE("B",K2)</f>
        <v>B&lt;#cdsTimeSpaceDomainBoxes.DOMAINORDER&gt;</v>
      </c>
      <c r="P2" s="10" t="str">
        <f>B2</f>
        <v>&lt;#cdsTimeSpaceDomainBoxes.DOMAINORDER&gt;</v>
      </c>
      <c r="Q2" s="5" t="e">
        <f>E2+G2+10</f>
        <v>#VALUE!</v>
      </c>
      <c r="R2" s="5" t="e">
        <f t="shared" ref="R2:R7" si="0">N2</f>
        <v>#VALUE!</v>
      </c>
      <c r="S2" s="6" t="str">
        <f>CONCATENATE("BC",P2)</f>
        <v>BC&lt;#cdsTimeSpaceDomainBoxes.DOMAINORDER&gt;</v>
      </c>
      <c r="T2" s="5" t="e">
        <f>Q2+10</f>
        <v>#VALUE!</v>
      </c>
      <c r="U2" s="5" t="e">
        <f t="shared" ref="U2:U7" si="1">R2</f>
        <v>#VALUE!</v>
      </c>
      <c r="V2" s="6" t="str">
        <f>CONCATENATE("BCDV",P2)</f>
        <v>BCDV&lt;#cdsTimeSpaceDomainBoxes.DOMAINORDER&gt;</v>
      </c>
    </row>
    <row r="3" spans="1:22" ht="13.5" customHeight="1" x14ac:dyDescent="0.2">
      <c r="A3" s="1" t="str">
        <f>A2</f>
        <v>&lt;#cdsTimeSpaceDomainBoxes.CHARTID&gt;</v>
      </c>
      <c r="B3" s="1" t="str">
        <f>B2</f>
        <v>&lt;#cdsTimeSpaceDomainBoxes.DOMAINORDER&gt;</v>
      </c>
      <c r="C3" s="1">
        <v>1</v>
      </c>
      <c r="D3" s="1" t="str">
        <f t="shared" ref="D3:K3" si="2">D2</f>
        <v>&lt;#cdsTimeSpaceDomainBoxes.DOMAINNAME&gt;</v>
      </c>
      <c r="E3" s="1" t="str">
        <f t="shared" si="2"/>
        <v>&lt;#cdsTimeSpaceDomainBoxes.CHARTOFFSET_MM&gt;</v>
      </c>
      <c r="F3" s="1" t="str">
        <f t="shared" si="2"/>
        <v>&lt;#cdsTimeSpaceDomainBoxes.DOMAINOFFSET_MM&gt;</v>
      </c>
      <c r="G3" s="1" t="str">
        <f t="shared" si="2"/>
        <v>&lt;#cdsTimeSpaceDomainBoxes.DOMAINXMIN&gt;</v>
      </c>
      <c r="H3" s="1" t="str">
        <f t="shared" si="2"/>
        <v>&lt;#cdsTimeSpaceDomainBoxes.DOMAINXMAX&gt;</v>
      </c>
      <c r="I3" s="1" t="str">
        <f t="shared" si="2"/>
        <v>&lt;#cdsTimeSpaceDomainBoxes.MINPLOTAGE&gt;</v>
      </c>
      <c r="J3" s="1" t="str">
        <f t="shared" si="2"/>
        <v>&lt;#cdsTimeSpaceDomainBoxes.MAXPLOTAGE&gt;</v>
      </c>
      <c r="K3" s="7" t="str">
        <f t="shared" si="2"/>
        <v>&lt;#cdsTimeSpaceDomainBoxes.DOMAINORDER&gt;</v>
      </c>
      <c r="L3" s="7">
        <f>C3</f>
        <v>1</v>
      </c>
      <c r="M3" s="5" t="e">
        <f>E2+G2</f>
        <v>#VALUE!</v>
      </c>
      <c r="N3" s="5" t="e">
        <f>I2*-1</f>
        <v>#VALUE!</v>
      </c>
      <c r="O3" s="6" t="str">
        <f>O2</f>
        <v>B&lt;#cdsTimeSpaceDomainBoxes.DOMAINORDER&gt;</v>
      </c>
      <c r="P3" s="10" t="str">
        <f>P2</f>
        <v>&lt;#cdsTimeSpaceDomainBoxes.DOMAINORDER&gt;</v>
      </c>
      <c r="Q3" s="5" t="e">
        <f>Q2</f>
        <v>#VALUE!</v>
      </c>
      <c r="R3" s="5" t="e">
        <f t="shared" si="0"/>
        <v>#VALUE!</v>
      </c>
      <c r="S3" s="7" t="str">
        <f>S2</f>
        <v>BC&lt;#cdsTimeSpaceDomainBoxes.DOMAINORDER&gt;</v>
      </c>
      <c r="T3" s="5" t="e">
        <f>Q3+10</f>
        <v>#VALUE!</v>
      </c>
      <c r="U3" s="5" t="e">
        <f t="shared" si="1"/>
        <v>#VALUE!</v>
      </c>
      <c r="V3" s="11" t="str">
        <f>V2</f>
        <v>BCDV&lt;#cdsTimeSpaceDomainBoxes.DOMAINORDER&gt;</v>
      </c>
    </row>
    <row r="4" spans="1:22" ht="13.5" customHeight="1" x14ac:dyDescent="0.2">
      <c r="A4" s="1" t="str">
        <f>A2</f>
        <v>&lt;#cdsTimeSpaceDomainBoxes.CHARTID&gt;</v>
      </c>
      <c r="B4" s="1" t="str">
        <f>B2</f>
        <v>&lt;#cdsTimeSpaceDomainBoxes.DOMAINORDER&gt;</v>
      </c>
      <c r="C4" s="1">
        <v>2</v>
      </c>
      <c r="D4" s="1" t="str">
        <f t="shared" ref="D4:K4" si="3">D2</f>
        <v>&lt;#cdsTimeSpaceDomainBoxes.DOMAINNAME&gt;</v>
      </c>
      <c r="E4" s="1" t="str">
        <f t="shared" si="3"/>
        <v>&lt;#cdsTimeSpaceDomainBoxes.CHARTOFFSET_MM&gt;</v>
      </c>
      <c r="F4" s="1" t="str">
        <f t="shared" si="3"/>
        <v>&lt;#cdsTimeSpaceDomainBoxes.DOMAINOFFSET_MM&gt;</v>
      </c>
      <c r="G4" s="1" t="str">
        <f t="shared" si="3"/>
        <v>&lt;#cdsTimeSpaceDomainBoxes.DOMAINXMIN&gt;</v>
      </c>
      <c r="H4" s="1" t="str">
        <f t="shared" si="3"/>
        <v>&lt;#cdsTimeSpaceDomainBoxes.DOMAINXMAX&gt;</v>
      </c>
      <c r="I4" s="1" t="str">
        <f t="shared" si="3"/>
        <v>&lt;#cdsTimeSpaceDomainBoxes.MINPLOTAGE&gt;</v>
      </c>
      <c r="J4" s="1" t="str">
        <f t="shared" si="3"/>
        <v>&lt;#cdsTimeSpaceDomainBoxes.MAXPLOTAGE&gt;</v>
      </c>
      <c r="K4" s="7" t="str">
        <f t="shared" si="3"/>
        <v>&lt;#cdsTimeSpaceDomainBoxes.DOMAINORDER&gt;</v>
      </c>
      <c r="L4" s="7">
        <f>C4</f>
        <v>2</v>
      </c>
      <c r="M4" s="5" t="e">
        <f>E2+G2</f>
        <v>#VALUE!</v>
      </c>
      <c r="N4" s="5" t="e">
        <f>J2*-1</f>
        <v>#VALUE!</v>
      </c>
      <c r="O4" s="7" t="str">
        <f>O2</f>
        <v>B&lt;#cdsTimeSpaceDomainBoxes.DOMAINORDER&gt;</v>
      </c>
      <c r="P4" s="10" t="str">
        <f>P2</f>
        <v>&lt;#cdsTimeSpaceDomainBoxes.DOMAINORDER&gt;</v>
      </c>
      <c r="Q4" s="5" t="e">
        <f>Q2</f>
        <v>#VALUE!</v>
      </c>
      <c r="R4" s="5" t="e">
        <f t="shared" si="0"/>
        <v>#VALUE!</v>
      </c>
      <c r="S4" s="7" t="str">
        <f>S2</f>
        <v>BC&lt;#cdsTimeSpaceDomainBoxes.DOMAINORDER&gt;</v>
      </c>
      <c r="T4" s="5" t="e">
        <f>Q4+10</f>
        <v>#VALUE!</v>
      </c>
      <c r="U4" s="5" t="e">
        <f t="shared" si="1"/>
        <v>#VALUE!</v>
      </c>
      <c r="V4" s="11" t="str">
        <f>V2</f>
        <v>BCDV&lt;#cdsTimeSpaceDomainBoxes.DOMAINORDER&gt;</v>
      </c>
    </row>
    <row r="5" spans="1:22" x14ac:dyDescent="0.2">
      <c r="A5" s="1" t="str">
        <f>A2</f>
        <v>&lt;#cdsTimeSpaceDomainBoxes.CHARTID&gt;</v>
      </c>
      <c r="B5" s="1" t="str">
        <f>B2</f>
        <v>&lt;#cdsTimeSpaceDomainBoxes.DOMAINORDER&gt;</v>
      </c>
      <c r="C5" s="1">
        <v>3</v>
      </c>
      <c r="D5" s="1" t="str">
        <f t="shared" ref="D5:K5" si="4">D2</f>
        <v>&lt;#cdsTimeSpaceDomainBoxes.DOMAINNAME&gt;</v>
      </c>
      <c r="E5" s="1" t="str">
        <f t="shared" si="4"/>
        <v>&lt;#cdsTimeSpaceDomainBoxes.CHARTOFFSET_MM&gt;</v>
      </c>
      <c r="F5" s="1" t="str">
        <f t="shared" si="4"/>
        <v>&lt;#cdsTimeSpaceDomainBoxes.DOMAINOFFSET_MM&gt;</v>
      </c>
      <c r="G5" s="1" t="str">
        <f t="shared" si="4"/>
        <v>&lt;#cdsTimeSpaceDomainBoxes.DOMAINXMIN&gt;</v>
      </c>
      <c r="H5" s="1" t="str">
        <f t="shared" si="4"/>
        <v>&lt;#cdsTimeSpaceDomainBoxes.DOMAINXMAX&gt;</v>
      </c>
      <c r="I5" s="1" t="str">
        <f t="shared" si="4"/>
        <v>&lt;#cdsTimeSpaceDomainBoxes.MINPLOTAGE&gt;</v>
      </c>
      <c r="J5" s="1" t="str">
        <f t="shared" si="4"/>
        <v>&lt;#cdsTimeSpaceDomainBoxes.MAXPLOTAGE&gt;</v>
      </c>
      <c r="K5" s="7" t="str">
        <f t="shared" si="4"/>
        <v>&lt;#cdsTimeSpaceDomainBoxes.DOMAINORDER&gt;</v>
      </c>
      <c r="L5" s="7">
        <f>C5</f>
        <v>3</v>
      </c>
      <c r="M5" s="5" t="e">
        <f>E2+H2</f>
        <v>#VALUE!</v>
      </c>
      <c r="N5" s="5" t="e">
        <f>J2*-1</f>
        <v>#VALUE!</v>
      </c>
      <c r="O5" s="6" t="str">
        <f>O2</f>
        <v>B&lt;#cdsTimeSpaceDomainBoxes.DOMAINORDER&gt;</v>
      </c>
      <c r="P5" s="10" t="str">
        <f>P2</f>
        <v>&lt;#cdsTimeSpaceDomainBoxes.DOMAINORDER&gt;</v>
      </c>
      <c r="Q5" s="5" t="e">
        <f>Q2+10</f>
        <v>#VALUE!</v>
      </c>
      <c r="R5" s="5" t="e">
        <f t="shared" si="0"/>
        <v>#VALUE!</v>
      </c>
      <c r="S5" s="7" t="str">
        <f>S2</f>
        <v>BC&lt;#cdsTimeSpaceDomainBoxes.DOMAINORDER&gt;</v>
      </c>
      <c r="T5" s="5" t="e">
        <f>Q5+30</f>
        <v>#VALUE!</v>
      </c>
      <c r="U5" s="5" t="e">
        <f t="shared" si="1"/>
        <v>#VALUE!</v>
      </c>
      <c r="V5" s="11" t="str">
        <f>V2</f>
        <v>BCDV&lt;#cdsTimeSpaceDomainBoxes.DOMAINORDER&gt;</v>
      </c>
    </row>
    <row r="6" spans="1:22" x14ac:dyDescent="0.2">
      <c r="A6" s="1" t="str">
        <f>A2</f>
        <v>&lt;#cdsTimeSpaceDomainBoxes.CHARTID&gt;</v>
      </c>
      <c r="B6" s="1" t="str">
        <f>B2</f>
        <v>&lt;#cdsTimeSpaceDomainBoxes.DOMAINORDER&gt;</v>
      </c>
      <c r="C6" s="1">
        <v>4</v>
      </c>
      <c r="D6" s="1" t="str">
        <f t="shared" ref="D6:K6" si="5">D2</f>
        <v>&lt;#cdsTimeSpaceDomainBoxes.DOMAINNAME&gt;</v>
      </c>
      <c r="E6" s="1" t="str">
        <f t="shared" si="5"/>
        <v>&lt;#cdsTimeSpaceDomainBoxes.CHARTOFFSET_MM&gt;</v>
      </c>
      <c r="F6" s="1" t="str">
        <f t="shared" si="5"/>
        <v>&lt;#cdsTimeSpaceDomainBoxes.DOMAINOFFSET_MM&gt;</v>
      </c>
      <c r="G6" s="1" t="str">
        <f t="shared" si="5"/>
        <v>&lt;#cdsTimeSpaceDomainBoxes.DOMAINXMIN&gt;</v>
      </c>
      <c r="H6" s="1" t="str">
        <f t="shared" si="5"/>
        <v>&lt;#cdsTimeSpaceDomainBoxes.DOMAINXMAX&gt;</v>
      </c>
      <c r="I6" s="1" t="str">
        <f t="shared" si="5"/>
        <v>&lt;#cdsTimeSpaceDomainBoxes.MINPLOTAGE&gt;</v>
      </c>
      <c r="J6" s="1" t="str">
        <f t="shared" si="5"/>
        <v>&lt;#cdsTimeSpaceDomainBoxes.MAXPLOTAGE&gt;</v>
      </c>
      <c r="K6" s="7" t="str">
        <f t="shared" si="5"/>
        <v>&lt;#cdsTimeSpaceDomainBoxes.DOMAINORDER&gt;</v>
      </c>
      <c r="L6" s="7">
        <f>C6</f>
        <v>4</v>
      </c>
      <c r="M6" s="5" t="e">
        <f>E2+H2</f>
        <v>#VALUE!</v>
      </c>
      <c r="N6" s="5" t="e">
        <f>I2*-1</f>
        <v>#VALUE!</v>
      </c>
      <c r="O6" s="6" t="str">
        <f>O2</f>
        <v>B&lt;#cdsTimeSpaceDomainBoxes.DOMAINORDER&gt;</v>
      </c>
      <c r="P6" s="10" t="str">
        <f>P2</f>
        <v>&lt;#cdsTimeSpaceDomainBoxes.DOMAINORDER&gt;</v>
      </c>
      <c r="Q6" s="5" t="e">
        <f>Q2+10</f>
        <v>#VALUE!</v>
      </c>
      <c r="R6" s="5" t="e">
        <f t="shared" si="0"/>
        <v>#VALUE!</v>
      </c>
      <c r="S6" s="7" t="str">
        <f>S2</f>
        <v>BC&lt;#cdsTimeSpaceDomainBoxes.DOMAINORDER&gt;</v>
      </c>
      <c r="T6" s="5" t="e">
        <f>Q6+30</f>
        <v>#VALUE!</v>
      </c>
      <c r="U6" s="5" t="e">
        <f t="shared" si="1"/>
        <v>#VALUE!</v>
      </c>
      <c r="V6" s="11" t="str">
        <f>V2</f>
        <v>BCDV&lt;#cdsTimeSpaceDomainBoxes.DOMAINORDER&gt;</v>
      </c>
    </row>
    <row r="7" spans="1:22" x14ac:dyDescent="0.2">
      <c r="A7" s="1" t="str">
        <f>A2</f>
        <v>&lt;#cdsTimeSpaceDomainBoxes.CHARTID&gt;</v>
      </c>
      <c r="B7" s="1" t="str">
        <f>B2</f>
        <v>&lt;#cdsTimeSpaceDomainBoxes.DOMAINORDER&gt;</v>
      </c>
      <c r="C7" s="1">
        <v>5</v>
      </c>
      <c r="D7" s="1" t="str">
        <f t="shared" ref="D7:K7" si="6">D2</f>
        <v>&lt;#cdsTimeSpaceDomainBoxes.DOMAINNAME&gt;</v>
      </c>
      <c r="E7" s="1" t="str">
        <f t="shared" si="6"/>
        <v>&lt;#cdsTimeSpaceDomainBoxes.CHARTOFFSET_MM&gt;</v>
      </c>
      <c r="F7" s="1" t="str">
        <f t="shared" si="6"/>
        <v>&lt;#cdsTimeSpaceDomainBoxes.DOMAINOFFSET_MM&gt;</v>
      </c>
      <c r="G7" s="1" t="str">
        <f t="shared" si="6"/>
        <v>&lt;#cdsTimeSpaceDomainBoxes.DOMAINXMIN&gt;</v>
      </c>
      <c r="H7" s="1" t="str">
        <f t="shared" si="6"/>
        <v>&lt;#cdsTimeSpaceDomainBoxes.DOMAINXMAX&gt;</v>
      </c>
      <c r="I7" s="1" t="str">
        <f t="shared" si="6"/>
        <v>&lt;#cdsTimeSpaceDomainBoxes.MINPLOTAGE&gt;</v>
      </c>
      <c r="J7" s="1" t="str">
        <f t="shared" si="6"/>
        <v>&lt;#cdsTimeSpaceDomainBoxes.MAXPLOTAGE&gt;</v>
      </c>
      <c r="K7" s="7" t="str">
        <f t="shared" si="6"/>
        <v>&lt;#cdsTimeSpaceDomainBoxes.DOMAINORDER&gt;</v>
      </c>
      <c r="L7" s="7">
        <f>C7</f>
        <v>5</v>
      </c>
      <c r="M7" s="5" t="e">
        <f>E2+G2</f>
        <v>#VALUE!</v>
      </c>
      <c r="N7" s="5" t="e">
        <f>I2*-1</f>
        <v>#VALUE!</v>
      </c>
      <c r="O7" s="7" t="str">
        <f>O2</f>
        <v>B&lt;#cdsTimeSpaceDomainBoxes.DOMAINORDER&gt;</v>
      </c>
      <c r="P7" s="10" t="str">
        <f>P2</f>
        <v>&lt;#cdsTimeSpaceDomainBoxes.DOMAINORDER&gt;</v>
      </c>
      <c r="Q7" s="5" t="e">
        <f>Q2</f>
        <v>#VALUE!</v>
      </c>
      <c r="R7" s="5" t="e">
        <f t="shared" si="0"/>
        <v>#VALUE!</v>
      </c>
      <c r="S7" s="7" t="str">
        <f>S2</f>
        <v>BC&lt;#cdsTimeSpaceDomainBoxes.DOMAINORDER&gt;</v>
      </c>
      <c r="T7" s="5" t="e">
        <f>Q7+10</f>
        <v>#VALUE!</v>
      </c>
      <c r="U7" s="5" t="e">
        <f t="shared" si="1"/>
        <v>#VALUE!</v>
      </c>
      <c r="V7" s="11" t="str">
        <f>V2</f>
        <v>BCDV&lt;#cdsTimeSpaceDomainBoxes.DOMAINORDER&gt;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2" customWidth="1"/>
    <col min="2" max="2" width="18.7109375" style="12" customWidth="1"/>
    <col min="3" max="3" width="32.7109375" style="12" customWidth="1"/>
    <col min="4" max="4" width="24.7109375" style="12" customWidth="1"/>
    <col min="5" max="7" width="1.7109375" style="12" customWidth="1"/>
    <col min="8" max="8" width="14.7109375" style="12" customWidth="1"/>
    <col min="9" max="9" width="11.7109375" style="12" customWidth="1"/>
    <col min="10" max="12" width="1.7109375" style="12" customWidth="1"/>
    <col min="13" max="13" width="14.7109375" style="12" customWidth="1"/>
    <col min="14" max="14" width="20.7109375" style="12" customWidth="1"/>
  </cols>
  <sheetData>
    <row r="1" spans="1:14" s="13" customFormat="1" ht="18" x14ac:dyDescent="0.25">
      <c r="A1" s="13" t="s">
        <v>31</v>
      </c>
    </row>
    <row r="3" spans="1:14" x14ac:dyDescent="0.25">
      <c r="A3" s="14" t="s">
        <v>32</v>
      </c>
    </row>
    <row r="4" spans="1:14" x14ac:dyDescent="0.25">
      <c r="A4" s="14" t="s">
        <v>33</v>
      </c>
    </row>
    <row r="5" spans="1:14" x14ac:dyDescent="0.25">
      <c r="A5" s="14" t="s">
        <v>34</v>
      </c>
    </row>
    <row r="8" spans="1:14" x14ac:dyDescent="0.25">
      <c r="A8" s="14" t="s">
        <v>35</v>
      </c>
      <c r="B8" s="14"/>
      <c r="C8" s="14"/>
      <c r="D8" s="14"/>
      <c r="H8" s="14" t="s">
        <v>36</v>
      </c>
      <c r="I8" s="14"/>
      <c r="M8" s="14" t="s">
        <v>37</v>
      </c>
      <c r="N8" s="14"/>
    </row>
    <row r="9" spans="1:14" ht="30" x14ac:dyDescent="0.25">
      <c r="A9" s="15" t="s">
        <v>38</v>
      </c>
      <c r="B9" s="15" t="s">
        <v>39</v>
      </c>
      <c r="C9" s="15" t="s">
        <v>40</v>
      </c>
      <c r="D9" s="15" t="s">
        <v>41</v>
      </c>
      <c r="H9" s="15" t="s">
        <v>42</v>
      </c>
      <c r="I9" s="15" t="s">
        <v>43</v>
      </c>
      <c r="M9" s="15" t="s">
        <v>44</v>
      </c>
      <c r="N9" s="15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timespacedomainboxes</vt:lpstr>
      <vt:lpstr>&lt;#Config&gt;</vt:lpstr>
      <vt:lpstr>__cdsTimeSpaceDomainBoxes__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2020-09-15T21:48:06Z</dcterms:modified>
</cp:coreProperties>
</file>